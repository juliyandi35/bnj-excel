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BNJ\"/>
    </mc:Choice>
  </mc:AlternateContent>
  <xr:revisionPtr revIDLastSave="0" documentId="13_ncr:1_{AB919874-E028-4098-AA33-9221EAF75F81}" xr6:coauthVersionLast="47" xr6:coauthVersionMax="47" xr10:uidLastSave="{00000000-0000-0000-0000-000000000000}"/>
  <bookViews>
    <workbookView xWindow="-110" yWindow="-110" windowWidth="19420" windowHeight="10300" firstSheet="12" activeTab="18" xr2:uid="{D58D8EA3-F4B9-425C-8184-CFB49C4CF03A}"/>
  </bookViews>
  <sheets>
    <sheet name="Dataset" sheetId="1" r:id="rId1"/>
    <sheet name="Tinggi M2" sheetId="3" r:id="rId2"/>
    <sheet name="Tinggi M4" sheetId="6" r:id="rId3"/>
    <sheet name="Tinggi M6" sheetId="7" r:id="rId4"/>
    <sheet name="Tinggi M8" sheetId="8" r:id="rId5"/>
    <sheet name="Tinggi M10" sheetId="9" r:id="rId6"/>
    <sheet name="Tinggi M12" sheetId="10" r:id="rId7"/>
    <sheet name="Tinggi M14" sheetId="11" r:id="rId8"/>
    <sheet name="Tinggi M16" sheetId="12" r:id="rId9"/>
    <sheet name="Daun M2" sheetId="4" r:id="rId10"/>
    <sheet name="Daun M4" sheetId="13" r:id="rId11"/>
    <sheet name="Daun M6" sheetId="14" r:id="rId12"/>
    <sheet name="Daun M8" sheetId="15" r:id="rId13"/>
    <sheet name="Daun M10" sheetId="16" r:id="rId14"/>
    <sheet name="Daun M12" sheetId="17" r:id="rId15"/>
    <sheet name="Daun M14" sheetId="18" r:id="rId16"/>
    <sheet name="Daun M16" sheetId="19" r:id="rId17"/>
    <sheet name="BNJ Umur" sheetId="5" r:id="rId18"/>
    <sheet name="BNJ Cabang" sheetId="2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16" l="1"/>
  <c r="P13" i="16"/>
  <c r="C10" i="16"/>
  <c r="D10" i="16"/>
  <c r="E10" i="16"/>
  <c r="B10" i="16"/>
  <c r="P15" i="13"/>
  <c r="P14" i="13"/>
  <c r="P17" i="12"/>
  <c r="P16" i="12"/>
  <c r="P14" i="12"/>
  <c r="P14" i="8"/>
  <c r="P13" i="8"/>
  <c r="C10" i="13"/>
  <c r="D10" i="13"/>
  <c r="E10" i="13"/>
  <c r="B10" i="13"/>
  <c r="C10" i="12"/>
  <c r="D10" i="12"/>
  <c r="E10" i="12"/>
  <c r="B10" i="12"/>
  <c r="P12" i="8"/>
  <c r="C10" i="8"/>
  <c r="D10" i="8"/>
  <c r="E10" i="8"/>
  <c r="B10" i="8"/>
  <c r="G3" i="8"/>
  <c r="P4" i="5"/>
  <c r="B15" i="5"/>
  <c r="B14" i="5"/>
  <c r="E9" i="5"/>
  <c r="D9" i="5"/>
  <c r="C9" i="5"/>
  <c r="B9" i="5"/>
  <c r="J13" i="5"/>
  <c r="B15" i="19"/>
  <c r="B14" i="19"/>
  <c r="G9" i="19"/>
  <c r="F9" i="19"/>
  <c r="E9" i="19"/>
  <c r="D9" i="19"/>
  <c r="C9" i="19"/>
  <c r="B9" i="19"/>
  <c r="B15" i="18"/>
  <c r="B14" i="18"/>
  <c r="G9" i="18"/>
  <c r="F9" i="18"/>
  <c r="K3" i="18" s="1"/>
  <c r="E9" i="18"/>
  <c r="K6" i="18" s="1"/>
  <c r="C14" i="18" s="1"/>
  <c r="D14" i="18" s="1"/>
  <c r="D9" i="18"/>
  <c r="C9" i="18"/>
  <c r="B9" i="18"/>
  <c r="C15" i="17"/>
  <c r="D15" i="17" s="1"/>
  <c r="B15" i="17"/>
  <c r="B14" i="17"/>
  <c r="G9" i="17"/>
  <c r="F9" i="17"/>
  <c r="E9" i="17"/>
  <c r="D9" i="17"/>
  <c r="C9" i="17"/>
  <c r="B9" i="17"/>
  <c r="B15" i="16"/>
  <c r="B14" i="16"/>
  <c r="E9" i="16"/>
  <c r="D9" i="16"/>
  <c r="C9" i="16"/>
  <c r="B9" i="16"/>
  <c r="B15" i="15"/>
  <c r="B14" i="15"/>
  <c r="G9" i="15"/>
  <c r="F9" i="15"/>
  <c r="E9" i="15"/>
  <c r="D9" i="15"/>
  <c r="K6" i="15" s="1"/>
  <c r="C14" i="15" s="1"/>
  <c r="D14" i="15" s="1"/>
  <c r="C9" i="15"/>
  <c r="B9" i="15"/>
  <c r="B15" i="14"/>
  <c r="B14" i="14"/>
  <c r="G9" i="14"/>
  <c r="F9" i="14"/>
  <c r="E9" i="14"/>
  <c r="D9" i="14"/>
  <c r="C9" i="14"/>
  <c r="B9" i="14"/>
  <c r="B15" i="13"/>
  <c r="B14" i="13"/>
  <c r="E9" i="13"/>
  <c r="D9" i="13"/>
  <c r="C9" i="13"/>
  <c r="B9" i="13"/>
  <c r="C15" i="4"/>
  <c r="D15" i="4" s="1"/>
  <c r="B15" i="4"/>
  <c r="B14" i="4"/>
  <c r="G9" i="4"/>
  <c r="F9" i="4"/>
  <c r="E9" i="4"/>
  <c r="K6" i="4" s="1"/>
  <c r="C14" i="4" s="1"/>
  <c r="D14" i="4" s="1"/>
  <c r="D9" i="4"/>
  <c r="C9" i="4"/>
  <c r="B9" i="4"/>
  <c r="J13" i="19"/>
  <c r="K3" i="19" s="1"/>
  <c r="O9" i="19"/>
  <c r="O8" i="19"/>
  <c r="O7" i="19"/>
  <c r="O6" i="19"/>
  <c r="O5" i="19"/>
  <c r="O4" i="19"/>
  <c r="J13" i="18"/>
  <c r="O9" i="18"/>
  <c r="O8" i="18"/>
  <c r="O7" i="18"/>
  <c r="O6" i="18"/>
  <c r="O5" i="18"/>
  <c r="O4" i="18"/>
  <c r="J13" i="17"/>
  <c r="O9" i="17"/>
  <c r="O8" i="17"/>
  <c r="O7" i="17"/>
  <c r="O6" i="17"/>
  <c r="O5" i="17"/>
  <c r="O4" i="17"/>
  <c r="K3" i="17"/>
  <c r="K4" i="17" s="1"/>
  <c r="J13" i="16"/>
  <c r="O8" i="16"/>
  <c r="O7" i="16"/>
  <c r="J13" i="15"/>
  <c r="O9" i="15"/>
  <c r="O8" i="15"/>
  <c r="O7" i="15"/>
  <c r="O6" i="15"/>
  <c r="O5" i="15"/>
  <c r="O4" i="15"/>
  <c r="K3" i="15"/>
  <c r="K4" i="15" s="1"/>
  <c r="C15" i="15" s="1"/>
  <c r="D15" i="15" s="1"/>
  <c r="J13" i="14"/>
  <c r="O9" i="14"/>
  <c r="O8" i="14"/>
  <c r="O7" i="14"/>
  <c r="O6" i="14"/>
  <c r="O5" i="14"/>
  <c r="O4" i="14"/>
  <c r="K3" i="14"/>
  <c r="K4" i="14" s="1"/>
  <c r="C15" i="14" s="1"/>
  <c r="D15" i="14" s="1"/>
  <c r="J13" i="13"/>
  <c r="O8" i="13"/>
  <c r="J13" i="4"/>
  <c r="O9" i="4"/>
  <c r="O8" i="4"/>
  <c r="O7" i="4"/>
  <c r="O6" i="4"/>
  <c r="O5" i="4"/>
  <c r="O4" i="4"/>
  <c r="K3" i="4"/>
  <c r="K4" i="4" s="1"/>
  <c r="G8" i="19"/>
  <c r="F8" i="19"/>
  <c r="G7" i="19"/>
  <c r="F7" i="19"/>
  <c r="G6" i="19"/>
  <c r="F6" i="19"/>
  <c r="G5" i="19"/>
  <c r="F5" i="19"/>
  <c r="G4" i="19"/>
  <c r="F4" i="19"/>
  <c r="G3" i="19"/>
  <c r="F3" i="19"/>
  <c r="G8" i="18"/>
  <c r="F8" i="18"/>
  <c r="G7" i="18"/>
  <c r="F7" i="18"/>
  <c r="G6" i="18"/>
  <c r="F6" i="18"/>
  <c r="G5" i="18"/>
  <c r="F5" i="18"/>
  <c r="G4" i="18"/>
  <c r="F4" i="18"/>
  <c r="G3" i="18"/>
  <c r="F3" i="18"/>
  <c r="G8" i="17"/>
  <c r="F8" i="17"/>
  <c r="G7" i="17"/>
  <c r="F7" i="17"/>
  <c r="G6" i="17"/>
  <c r="F6" i="17"/>
  <c r="G5" i="17"/>
  <c r="F5" i="17"/>
  <c r="G4" i="17"/>
  <c r="F4" i="17"/>
  <c r="G3" i="17"/>
  <c r="F3" i="17"/>
  <c r="G8" i="16"/>
  <c r="O9" i="16" s="1"/>
  <c r="F8" i="16"/>
  <c r="G7" i="16"/>
  <c r="F7" i="16"/>
  <c r="G6" i="16"/>
  <c r="F6" i="16"/>
  <c r="G5" i="16"/>
  <c r="O6" i="16" s="1"/>
  <c r="F5" i="16"/>
  <c r="G4" i="16"/>
  <c r="O5" i="16" s="1"/>
  <c r="F4" i="16"/>
  <c r="G3" i="16"/>
  <c r="G9" i="16" s="1"/>
  <c r="F3" i="16"/>
  <c r="F9" i="16" s="1"/>
  <c r="K3" i="16" s="1"/>
  <c r="G8" i="15"/>
  <c r="F8" i="15"/>
  <c r="G7" i="15"/>
  <c r="F7" i="15"/>
  <c r="G6" i="15"/>
  <c r="F6" i="15"/>
  <c r="G5" i="15"/>
  <c r="F5" i="15"/>
  <c r="G4" i="15"/>
  <c r="F4" i="15"/>
  <c r="G3" i="15"/>
  <c r="F3" i="15"/>
  <c r="G8" i="14"/>
  <c r="F8" i="14"/>
  <c r="G7" i="14"/>
  <c r="F7" i="14"/>
  <c r="G6" i="14"/>
  <c r="F6" i="14"/>
  <c r="G5" i="14"/>
  <c r="F5" i="14"/>
  <c r="G4" i="14"/>
  <c r="F4" i="14"/>
  <c r="G3" i="14"/>
  <c r="F3" i="14"/>
  <c r="G8" i="13"/>
  <c r="O9" i="13" s="1"/>
  <c r="F8" i="13"/>
  <c r="G7" i="13"/>
  <c r="F7" i="13"/>
  <c r="G6" i="13"/>
  <c r="O7" i="13" s="1"/>
  <c r="F6" i="13"/>
  <c r="G5" i="13"/>
  <c r="O6" i="13" s="1"/>
  <c r="F5" i="13"/>
  <c r="G4" i="13"/>
  <c r="O5" i="13" s="1"/>
  <c r="F4" i="13"/>
  <c r="G3" i="13"/>
  <c r="G9" i="13" s="1"/>
  <c r="F3" i="13"/>
  <c r="F9" i="13" s="1"/>
  <c r="K3" i="13" s="1"/>
  <c r="J13" i="12"/>
  <c r="O8" i="12"/>
  <c r="B15" i="12"/>
  <c r="B14" i="12"/>
  <c r="B16" i="12" s="1"/>
  <c r="B17" i="12" s="1"/>
  <c r="E9" i="12"/>
  <c r="D9" i="12"/>
  <c r="C9" i="12"/>
  <c r="B9" i="12"/>
  <c r="B15" i="11"/>
  <c r="B14" i="11"/>
  <c r="G9" i="11"/>
  <c r="F9" i="11"/>
  <c r="K3" i="11" s="1"/>
  <c r="E9" i="11"/>
  <c r="D9" i="11"/>
  <c r="C9" i="11"/>
  <c r="B9" i="11"/>
  <c r="J13" i="11"/>
  <c r="O9" i="11"/>
  <c r="O8" i="11"/>
  <c r="O7" i="11"/>
  <c r="O6" i="11"/>
  <c r="O5" i="11"/>
  <c r="O4" i="11"/>
  <c r="J13" i="10"/>
  <c r="O9" i="10"/>
  <c r="O8" i="10"/>
  <c r="O7" i="10"/>
  <c r="O6" i="10"/>
  <c r="O5" i="10"/>
  <c r="K5" i="10"/>
  <c r="C17" i="10" s="1"/>
  <c r="O4" i="10"/>
  <c r="K3" i="10"/>
  <c r="K4" i="10" s="1"/>
  <c r="C15" i="10" s="1"/>
  <c r="D15" i="10" s="1"/>
  <c r="B16" i="10"/>
  <c r="B15" i="10"/>
  <c r="B14" i="10"/>
  <c r="B17" i="10" s="1"/>
  <c r="G9" i="10"/>
  <c r="F9" i="10"/>
  <c r="E9" i="10"/>
  <c r="D9" i="10"/>
  <c r="C9" i="10"/>
  <c r="B9" i="10"/>
  <c r="J13" i="9"/>
  <c r="O9" i="9"/>
  <c r="O8" i="9"/>
  <c r="O7" i="9"/>
  <c r="O6" i="9"/>
  <c r="O5" i="9"/>
  <c r="K5" i="9"/>
  <c r="C17" i="9" s="1"/>
  <c r="O4" i="9"/>
  <c r="K3" i="9"/>
  <c r="K4" i="9" s="1"/>
  <c r="C15" i="9" s="1"/>
  <c r="D15" i="9" s="1"/>
  <c r="B15" i="9"/>
  <c r="B14" i="9"/>
  <c r="G9" i="9"/>
  <c r="F9" i="9"/>
  <c r="E9" i="9"/>
  <c r="D9" i="9"/>
  <c r="C9" i="9"/>
  <c r="B9" i="9"/>
  <c r="B15" i="8"/>
  <c r="B14" i="8"/>
  <c r="E9" i="8"/>
  <c r="D9" i="8"/>
  <c r="C9" i="8"/>
  <c r="B9" i="8"/>
  <c r="J13" i="8"/>
  <c r="O7" i="8"/>
  <c r="O4" i="8"/>
  <c r="J13" i="7"/>
  <c r="K3" i="7" s="1"/>
  <c r="O9" i="7"/>
  <c r="O8" i="7"/>
  <c r="O7" i="7"/>
  <c r="O6" i="7"/>
  <c r="O5" i="7"/>
  <c r="O4" i="7"/>
  <c r="B15" i="7"/>
  <c r="B14" i="7"/>
  <c r="G9" i="7"/>
  <c r="F9" i="7"/>
  <c r="E9" i="7"/>
  <c r="D9" i="7"/>
  <c r="C9" i="7"/>
  <c r="B9" i="7"/>
  <c r="K6" i="3"/>
  <c r="C14" i="3" s="1"/>
  <c r="K6" i="6"/>
  <c r="C14" i="6" s="1"/>
  <c r="D14" i="6" s="1"/>
  <c r="K7" i="6"/>
  <c r="J17" i="6"/>
  <c r="J15" i="6"/>
  <c r="C17" i="6"/>
  <c r="C16" i="6" s="1"/>
  <c r="C15" i="6"/>
  <c r="D15" i="6" s="1"/>
  <c r="B15" i="6"/>
  <c r="B14" i="6"/>
  <c r="C9" i="6"/>
  <c r="D9" i="6"/>
  <c r="E9" i="6"/>
  <c r="F9" i="6"/>
  <c r="G9" i="6"/>
  <c r="B9" i="6"/>
  <c r="C17" i="3"/>
  <c r="C15" i="3"/>
  <c r="J13" i="6"/>
  <c r="O8" i="6"/>
  <c r="K3" i="6"/>
  <c r="B15" i="3"/>
  <c r="B14" i="3"/>
  <c r="G3" i="3"/>
  <c r="F3" i="3"/>
  <c r="C9" i="3"/>
  <c r="D9" i="3"/>
  <c r="E9" i="3"/>
  <c r="B9" i="3"/>
  <c r="J13" i="3"/>
  <c r="G8" i="12"/>
  <c r="O9" i="12" s="1"/>
  <c r="F8" i="12"/>
  <c r="G7" i="12"/>
  <c r="F7" i="12"/>
  <c r="G6" i="12"/>
  <c r="O7" i="12" s="1"/>
  <c r="F6" i="12"/>
  <c r="G5" i="12"/>
  <c r="O6" i="12" s="1"/>
  <c r="F5" i="12"/>
  <c r="G4" i="12"/>
  <c r="O5" i="12" s="1"/>
  <c r="F4" i="12"/>
  <c r="G3" i="12"/>
  <c r="G9" i="12" s="1"/>
  <c r="F3" i="12"/>
  <c r="F9" i="12" s="1"/>
  <c r="K3" i="12" s="1"/>
  <c r="G8" i="11"/>
  <c r="F8" i="11"/>
  <c r="G7" i="11"/>
  <c r="F7" i="11"/>
  <c r="G6" i="11"/>
  <c r="F6" i="11"/>
  <c r="G5" i="11"/>
  <c r="F5" i="11"/>
  <c r="G4" i="11"/>
  <c r="F4" i="11"/>
  <c r="G3" i="11"/>
  <c r="F3" i="11"/>
  <c r="G8" i="10"/>
  <c r="F8" i="10"/>
  <c r="G7" i="10"/>
  <c r="F7" i="10"/>
  <c r="G6" i="10"/>
  <c r="F6" i="10"/>
  <c r="G5" i="10"/>
  <c r="F5" i="10"/>
  <c r="G4" i="10"/>
  <c r="F4" i="10"/>
  <c r="G3" i="10"/>
  <c r="F3" i="10"/>
  <c r="G8" i="9"/>
  <c r="F8" i="9"/>
  <c r="G7" i="9"/>
  <c r="F7" i="9"/>
  <c r="G6" i="9"/>
  <c r="F6" i="9"/>
  <c r="G5" i="9"/>
  <c r="F5" i="9"/>
  <c r="G4" i="9"/>
  <c r="F4" i="9"/>
  <c r="G3" i="9"/>
  <c r="F3" i="9"/>
  <c r="G8" i="8"/>
  <c r="O9" i="8" s="1"/>
  <c r="F8" i="8"/>
  <c r="G7" i="8"/>
  <c r="O8" i="8" s="1"/>
  <c r="F7" i="8"/>
  <c r="G6" i="8"/>
  <c r="F6" i="8"/>
  <c r="G5" i="8"/>
  <c r="O6" i="8" s="1"/>
  <c r="F5" i="8"/>
  <c r="G4" i="8"/>
  <c r="F4" i="8"/>
  <c r="F3" i="8"/>
  <c r="F9" i="8" s="1"/>
  <c r="G8" i="7"/>
  <c r="F8" i="7"/>
  <c r="G7" i="7"/>
  <c r="F7" i="7"/>
  <c r="G6" i="7"/>
  <c r="F6" i="7"/>
  <c r="G5" i="7"/>
  <c r="F5" i="7"/>
  <c r="G4" i="7"/>
  <c r="F4" i="7"/>
  <c r="G3" i="7"/>
  <c r="F3" i="7"/>
  <c r="G8" i="6"/>
  <c r="O9" i="6" s="1"/>
  <c r="F8" i="6"/>
  <c r="G7" i="6"/>
  <c r="F7" i="6"/>
  <c r="G6" i="6"/>
  <c r="O7" i="6" s="1"/>
  <c r="F6" i="6"/>
  <c r="G5" i="6"/>
  <c r="O6" i="6" s="1"/>
  <c r="F5" i="6"/>
  <c r="G4" i="6"/>
  <c r="O5" i="6" s="1"/>
  <c r="F4" i="6"/>
  <c r="G3" i="6"/>
  <c r="O4" i="6" s="1"/>
  <c r="F3" i="6"/>
  <c r="S3" i="2"/>
  <c r="U3" i="2" s="1"/>
  <c r="O4" i="16" l="1"/>
  <c r="G9" i="8"/>
  <c r="O5" i="8"/>
  <c r="K6" i="13"/>
  <c r="C14" i="13" s="1"/>
  <c r="D14" i="13" s="1"/>
  <c r="O4" i="13"/>
  <c r="K6" i="12"/>
  <c r="C14" i="12" s="1"/>
  <c r="D14" i="12" s="1"/>
  <c r="K5" i="12"/>
  <c r="C17" i="12" s="1"/>
  <c r="O4" i="12"/>
  <c r="B16" i="5"/>
  <c r="B17" i="5" s="1"/>
  <c r="B16" i="19"/>
  <c r="B17" i="19" s="1"/>
  <c r="K4" i="18"/>
  <c r="C15" i="18" s="1"/>
  <c r="D15" i="18" s="1"/>
  <c r="K5" i="18"/>
  <c r="C17" i="18" s="1"/>
  <c r="B16" i="18"/>
  <c r="B17" i="18" s="1"/>
  <c r="K5" i="17"/>
  <c r="C17" i="17" s="1"/>
  <c r="C16" i="17" s="1"/>
  <c r="D16" i="17" s="1"/>
  <c r="E15" i="17" s="1"/>
  <c r="B16" i="17"/>
  <c r="B17" i="17" s="1"/>
  <c r="K6" i="16"/>
  <c r="C14" i="16" s="1"/>
  <c r="D14" i="16" s="1"/>
  <c r="K4" i="16"/>
  <c r="C15" i="16" s="1"/>
  <c r="D15" i="16" s="1"/>
  <c r="K5" i="16"/>
  <c r="C17" i="16" s="1"/>
  <c r="B16" i="16"/>
  <c r="B17" i="16" s="1"/>
  <c r="K5" i="15"/>
  <c r="C17" i="15" s="1"/>
  <c r="C16" i="15" s="1"/>
  <c r="D16" i="15" s="1"/>
  <c r="B16" i="15"/>
  <c r="B17" i="15" s="1"/>
  <c r="B16" i="14"/>
  <c r="B17" i="14" s="1"/>
  <c r="K5" i="14"/>
  <c r="C17" i="14" s="1"/>
  <c r="C16" i="14" s="1"/>
  <c r="D16" i="14" s="1"/>
  <c r="K4" i="13"/>
  <c r="C15" i="13" s="1"/>
  <c r="D15" i="13" s="1"/>
  <c r="K5" i="13"/>
  <c r="C17" i="13" s="1"/>
  <c r="C16" i="13" s="1"/>
  <c r="D16" i="13" s="1"/>
  <c r="B16" i="13"/>
  <c r="B17" i="13" s="1"/>
  <c r="K5" i="4"/>
  <c r="C17" i="4" s="1"/>
  <c r="C16" i="4" s="1"/>
  <c r="D16" i="4" s="1"/>
  <c r="E15" i="4" s="1"/>
  <c r="B16" i="4"/>
  <c r="B17" i="4" s="1"/>
  <c r="K4" i="19"/>
  <c r="C15" i="19" s="1"/>
  <c r="D15" i="19" s="1"/>
  <c r="K5" i="19"/>
  <c r="C17" i="19" s="1"/>
  <c r="C16" i="19" s="1"/>
  <c r="K6" i="19"/>
  <c r="C14" i="19" s="1"/>
  <c r="D14" i="19" s="1"/>
  <c r="K6" i="17"/>
  <c r="C14" i="17" s="1"/>
  <c r="D14" i="17" s="1"/>
  <c r="K6" i="14"/>
  <c r="C14" i="14" s="1"/>
  <c r="D14" i="14" s="1"/>
  <c r="E14" i="14" s="1"/>
  <c r="K4" i="12"/>
  <c r="C15" i="12" s="1"/>
  <c r="D15" i="12" s="1"/>
  <c r="K4" i="11"/>
  <c r="C15" i="11" s="1"/>
  <c r="D15" i="11" s="1"/>
  <c r="K5" i="11"/>
  <c r="C17" i="11" s="1"/>
  <c r="B16" i="11"/>
  <c r="B17" i="11" s="1"/>
  <c r="K6" i="11"/>
  <c r="C14" i="11" s="1"/>
  <c r="D14" i="11" s="1"/>
  <c r="K6" i="10"/>
  <c r="C14" i="10" s="1"/>
  <c r="D14" i="10" s="1"/>
  <c r="C16" i="10"/>
  <c r="D16" i="10" s="1"/>
  <c r="K6" i="9"/>
  <c r="C14" i="9" s="1"/>
  <c r="D14" i="9" s="1"/>
  <c r="B16" i="9"/>
  <c r="B17" i="9" s="1"/>
  <c r="C16" i="9"/>
  <c r="D16" i="9" s="1"/>
  <c r="K3" i="8"/>
  <c r="B16" i="8"/>
  <c r="B17" i="8" s="1"/>
  <c r="K6" i="8"/>
  <c r="C14" i="8" s="1"/>
  <c r="D14" i="8" s="1"/>
  <c r="K5" i="8"/>
  <c r="C17" i="8" s="1"/>
  <c r="K4" i="8"/>
  <c r="C15" i="8" s="1"/>
  <c r="D15" i="8" s="1"/>
  <c r="K4" i="7"/>
  <c r="C15" i="7" s="1"/>
  <c r="D15" i="7" s="1"/>
  <c r="K5" i="7"/>
  <c r="C17" i="7" s="1"/>
  <c r="C16" i="7" s="1"/>
  <c r="D16" i="7" s="1"/>
  <c r="K6" i="7"/>
  <c r="C14" i="7" s="1"/>
  <c r="D14" i="7" s="1"/>
  <c r="B17" i="7"/>
  <c r="B16" i="7"/>
  <c r="B16" i="6"/>
  <c r="D16" i="6" s="1"/>
  <c r="K4" i="6"/>
  <c r="K5" i="6"/>
  <c r="P7" i="6"/>
  <c r="O4" i="3"/>
  <c r="B16" i="3"/>
  <c r="B17" i="3" s="1"/>
  <c r="C16" i="16" l="1"/>
  <c r="D16" i="16" s="1"/>
  <c r="E14" i="13"/>
  <c r="C16" i="8"/>
  <c r="D16" i="8" s="1"/>
  <c r="K7" i="8" s="1"/>
  <c r="D16" i="19"/>
  <c r="E14" i="19" s="1"/>
  <c r="E15" i="19"/>
  <c r="C16" i="18"/>
  <c r="D16" i="18" s="1"/>
  <c r="E15" i="18"/>
  <c r="E14" i="17"/>
  <c r="K7" i="17"/>
  <c r="J17" i="17"/>
  <c r="J15" i="17" s="1"/>
  <c r="K7" i="15"/>
  <c r="J17" i="15"/>
  <c r="J15" i="15" s="1"/>
  <c r="E14" i="15"/>
  <c r="E15" i="15"/>
  <c r="J17" i="14"/>
  <c r="J15" i="14" s="1"/>
  <c r="K7" i="14"/>
  <c r="E15" i="14"/>
  <c r="K7" i="13"/>
  <c r="J17" i="13"/>
  <c r="J15" i="13" s="1"/>
  <c r="E15" i="13"/>
  <c r="K7" i="4"/>
  <c r="J17" i="4"/>
  <c r="J15" i="4" s="1"/>
  <c r="E14" i="4"/>
  <c r="C16" i="12"/>
  <c r="D16" i="12" s="1"/>
  <c r="E15" i="12" s="1"/>
  <c r="C16" i="11"/>
  <c r="D16" i="11" s="1"/>
  <c r="E15" i="11" s="1"/>
  <c r="E14" i="10"/>
  <c r="J17" i="10"/>
  <c r="J15" i="10" s="1"/>
  <c r="K7" i="10"/>
  <c r="E15" i="10"/>
  <c r="E14" i="9"/>
  <c r="J17" i="9"/>
  <c r="J15" i="9" s="1"/>
  <c r="K7" i="9"/>
  <c r="E15" i="9"/>
  <c r="J17" i="8"/>
  <c r="J15" i="8" s="1"/>
  <c r="E14" i="8"/>
  <c r="E15" i="8"/>
  <c r="E15" i="7"/>
  <c r="J17" i="7"/>
  <c r="J15" i="7" s="1"/>
  <c r="K7" i="7"/>
  <c r="E14" i="7"/>
  <c r="E15" i="6"/>
  <c r="E14" i="6"/>
  <c r="B17" i="6"/>
  <c r="P8" i="6"/>
  <c r="P6" i="6"/>
  <c r="P5" i="6"/>
  <c r="P9" i="6"/>
  <c r="P4" i="6"/>
  <c r="E15" i="16" l="1"/>
  <c r="E14" i="16"/>
  <c r="K7" i="19"/>
  <c r="J17" i="19"/>
  <c r="J15" i="19" s="1"/>
  <c r="J17" i="18"/>
  <c r="J15" i="18" s="1"/>
  <c r="K7" i="18"/>
  <c r="E14" i="18"/>
  <c r="P9" i="17"/>
  <c r="P7" i="17"/>
  <c r="P5" i="17"/>
  <c r="P4" i="17"/>
  <c r="P6" i="17"/>
  <c r="P8" i="17"/>
  <c r="K7" i="16"/>
  <c r="J17" i="16"/>
  <c r="J15" i="16" s="1"/>
  <c r="P7" i="15"/>
  <c r="P6" i="15"/>
  <c r="P8" i="15"/>
  <c r="P5" i="15"/>
  <c r="P9" i="15"/>
  <c r="P4" i="15"/>
  <c r="P6" i="14"/>
  <c r="P8" i="14"/>
  <c r="P9" i="14"/>
  <c r="P7" i="14"/>
  <c r="P4" i="14"/>
  <c r="P5" i="14"/>
  <c r="P7" i="13"/>
  <c r="P4" i="13"/>
  <c r="P9" i="13"/>
  <c r="P6" i="13"/>
  <c r="P5" i="13"/>
  <c r="P8" i="13"/>
  <c r="P7" i="4"/>
  <c r="P4" i="4"/>
  <c r="P5" i="4"/>
  <c r="P9" i="4"/>
  <c r="P8" i="4"/>
  <c r="E14" i="12"/>
  <c r="J17" i="12"/>
  <c r="J15" i="12" s="1"/>
  <c r="K7" i="12"/>
  <c r="K7" i="11"/>
  <c r="J17" i="11"/>
  <c r="J15" i="11" s="1"/>
  <c r="E14" i="11"/>
  <c r="P9" i="10"/>
  <c r="P7" i="10"/>
  <c r="P4" i="10"/>
  <c r="P6" i="10"/>
  <c r="P5" i="10"/>
  <c r="P8" i="10"/>
  <c r="P7" i="9"/>
  <c r="P5" i="9"/>
  <c r="P6" i="9"/>
  <c r="P8" i="9"/>
  <c r="P9" i="9"/>
  <c r="P4" i="9"/>
  <c r="P8" i="8"/>
  <c r="P5" i="8"/>
  <c r="P4" i="8"/>
  <c r="P6" i="8"/>
  <c r="P7" i="8"/>
  <c r="P9" i="8"/>
  <c r="P6" i="7"/>
  <c r="P7" i="7"/>
  <c r="P4" i="7"/>
  <c r="P9" i="7"/>
  <c r="P8" i="7"/>
  <c r="P5" i="7"/>
  <c r="P6" i="19" l="1"/>
  <c r="P7" i="19"/>
  <c r="P5" i="19"/>
  <c r="P8" i="19"/>
  <c r="P9" i="19"/>
  <c r="P4" i="19"/>
  <c r="P7" i="18"/>
  <c r="P5" i="18"/>
  <c r="P6" i="18"/>
  <c r="P8" i="18"/>
  <c r="P4" i="18"/>
  <c r="P9" i="18"/>
  <c r="P7" i="16"/>
  <c r="P6" i="16"/>
  <c r="P8" i="16"/>
  <c r="P9" i="16"/>
  <c r="P4" i="16"/>
  <c r="P5" i="16"/>
  <c r="P7" i="12"/>
  <c r="P4" i="12"/>
  <c r="P6" i="12"/>
  <c r="P8" i="12"/>
  <c r="P9" i="12"/>
  <c r="P5" i="12"/>
  <c r="P9" i="11"/>
  <c r="P5" i="11"/>
  <c r="P6" i="11"/>
  <c r="P7" i="11"/>
  <c r="P8" i="11"/>
  <c r="P4" i="11"/>
  <c r="Z18" i="2" l="1"/>
  <c r="Z17" i="2"/>
  <c r="B25" i="2" l="1"/>
  <c r="G8" i="5"/>
  <c r="F8" i="5"/>
  <c r="G7" i="5"/>
  <c r="F7" i="5"/>
  <c r="G6" i="5"/>
  <c r="F6" i="5"/>
  <c r="G5" i="5"/>
  <c r="F5" i="5"/>
  <c r="G4" i="5"/>
  <c r="F4" i="5"/>
  <c r="G3" i="5"/>
  <c r="F3" i="5"/>
  <c r="C2" i="5"/>
  <c r="D2" i="5" s="1"/>
  <c r="E2" i="5" s="1"/>
  <c r="G8" i="4"/>
  <c r="F8" i="4"/>
  <c r="G7" i="4"/>
  <c r="F7" i="4"/>
  <c r="G6" i="4"/>
  <c r="F6" i="4"/>
  <c r="G5" i="4"/>
  <c r="F5" i="4"/>
  <c r="G4" i="4"/>
  <c r="F4" i="4"/>
  <c r="G3" i="4"/>
  <c r="F3" i="4"/>
  <c r="G8" i="3"/>
  <c r="O9" i="3" s="1"/>
  <c r="F8" i="3"/>
  <c r="G7" i="3"/>
  <c r="O8" i="3" s="1"/>
  <c r="F7" i="3"/>
  <c r="G6" i="3"/>
  <c r="O7" i="3" s="1"/>
  <c r="F6" i="3"/>
  <c r="G5" i="3"/>
  <c r="O6" i="3" s="1"/>
  <c r="F5" i="3"/>
  <c r="G4" i="3"/>
  <c r="F4" i="3"/>
  <c r="F9" i="5" l="1"/>
  <c r="K3" i="5" s="1"/>
  <c r="K4" i="5"/>
  <c r="C15" i="5" s="1"/>
  <c r="D15" i="5" s="1"/>
  <c r="G9" i="5"/>
  <c r="F9" i="3"/>
  <c r="K3" i="3" s="1"/>
  <c r="O5" i="3"/>
  <c r="G9" i="3"/>
  <c r="K5" i="5" l="1"/>
  <c r="C17" i="5" s="1"/>
  <c r="C16" i="5" s="1"/>
  <c r="D16" i="5" s="1"/>
  <c r="K6" i="5"/>
  <c r="C14" i="5" s="1"/>
  <c r="D14" i="5" s="1"/>
  <c r="E14" i="5" s="1"/>
  <c r="K5" i="3"/>
  <c r="D14" i="3"/>
  <c r="K4" i="3"/>
  <c r="D15" i="3" s="1"/>
  <c r="K7" i="5" l="1"/>
  <c r="J17" i="5"/>
  <c r="J15" i="5" s="1"/>
  <c r="E15" i="5"/>
  <c r="B22" i="2"/>
  <c r="B21" i="2"/>
  <c r="B23" i="2" s="1"/>
  <c r="B20" i="2"/>
  <c r="B24" i="2" s="1"/>
  <c r="G16" i="2"/>
  <c r="D16" i="2"/>
  <c r="C16" i="2"/>
  <c r="E16" i="2"/>
  <c r="B16" i="2"/>
  <c r="C15" i="2"/>
  <c r="D15" i="2"/>
  <c r="E15" i="2"/>
  <c r="B15" i="2"/>
  <c r="G14" i="2"/>
  <c r="F14" i="2"/>
  <c r="O4" i="2" s="1"/>
  <c r="G13" i="2"/>
  <c r="F13" i="2"/>
  <c r="O3" i="2" s="1"/>
  <c r="G12" i="2"/>
  <c r="F12" i="2"/>
  <c r="N4" i="2" s="1"/>
  <c r="G11" i="2"/>
  <c r="F11" i="2"/>
  <c r="N3" i="2" s="1"/>
  <c r="G10" i="2"/>
  <c r="F10" i="2"/>
  <c r="M4" i="2" s="1"/>
  <c r="G9" i="2"/>
  <c r="F9" i="2"/>
  <c r="M3" i="2" s="1"/>
  <c r="G8" i="2"/>
  <c r="F8" i="2"/>
  <c r="L4" i="2" s="1"/>
  <c r="G7" i="2"/>
  <c r="F7" i="2"/>
  <c r="L3" i="2" s="1"/>
  <c r="G6" i="2"/>
  <c r="F6" i="2"/>
  <c r="K4" i="2" s="1"/>
  <c r="G5" i="2"/>
  <c r="F5" i="2"/>
  <c r="K3" i="2" s="1"/>
  <c r="G4" i="2"/>
  <c r="F4" i="2"/>
  <c r="J4" i="2" s="1"/>
  <c r="G3" i="2"/>
  <c r="F3" i="2"/>
  <c r="Z16" i="1"/>
  <c r="Z17" i="1"/>
  <c r="Z18" i="1"/>
  <c r="Z19" i="1"/>
  <c r="Z20" i="1"/>
  <c r="Z21" i="1"/>
  <c r="Z22" i="1"/>
  <c r="Z23" i="1"/>
  <c r="Z24" i="1"/>
  <c r="Z25" i="1"/>
  <c r="Z26" i="1"/>
  <c r="Z15" i="1"/>
  <c r="Y16" i="1"/>
  <c r="Y17" i="1"/>
  <c r="Y18" i="1"/>
  <c r="Y19" i="1"/>
  <c r="Y20" i="1"/>
  <c r="Y21" i="1"/>
  <c r="Y22" i="1"/>
  <c r="Y23" i="1"/>
  <c r="Y24" i="1"/>
  <c r="Y25" i="1"/>
  <c r="Y26" i="1"/>
  <c r="Y15" i="1"/>
  <c r="Z7" i="1"/>
  <c r="Z8" i="1"/>
  <c r="Z9" i="1"/>
  <c r="Z10" i="1"/>
  <c r="Z11" i="1"/>
  <c r="Z6" i="1"/>
  <c r="Y7" i="1"/>
  <c r="Y8" i="1"/>
  <c r="Y9" i="1"/>
  <c r="Y10" i="1"/>
  <c r="Y11" i="1"/>
  <c r="Y6" i="1"/>
  <c r="W5" i="1"/>
  <c r="X5" i="1"/>
  <c r="V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6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7" i="1"/>
  <c r="I8" i="1"/>
  <c r="I9" i="1"/>
  <c r="I10" i="1"/>
  <c r="I11" i="1"/>
  <c r="I6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7" i="1"/>
  <c r="H8" i="1"/>
  <c r="H9" i="1"/>
  <c r="H10" i="1"/>
  <c r="H11" i="1"/>
  <c r="H6" i="1"/>
  <c r="P6" i="5" l="1"/>
  <c r="P5" i="5"/>
  <c r="P7" i="5"/>
  <c r="P9" i="5"/>
  <c r="K5" i="2"/>
  <c r="K6" i="2" s="1"/>
  <c r="L5" i="2"/>
  <c r="L6" i="2" s="1"/>
  <c r="N5" i="2"/>
  <c r="M5" i="2"/>
  <c r="M6" i="2" s="1"/>
  <c r="O5" i="2"/>
  <c r="O6" i="2" s="1"/>
  <c r="P4" i="2"/>
  <c r="Q4" i="2" s="1"/>
  <c r="J3" i="2"/>
  <c r="F15" i="2"/>
  <c r="N6" i="2" l="1"/>
  <c r="F23" i="2"/>
  <c r="J5" i="2"/>
  <c r="P3" i="2"/>
  <c r="Q3" i="2" s="1"/>
  <c r="F21" i="2"/>
  <c r="F22" i="2"/>
  <c r="F20" i="2"/>
  <c r="J6" i="2" l="1"/>
  <c r="P5" i="2"/>
  <c r="J7" i="2" s="1"/>
  <c r="C25" i="2" s="1"/>
  <c r="C20" i="2" l="1"/>
  <c r="C21" i="2"/>
  <c r="D21" i="2" s="1"/>
  <c r="C22" i="2"/>
  <c r="C24" i="2" l="1"/>
  <c r="D24" i="2" s="1"/>
  <c r="D22" i="2"/>
  <c r="C23" i="2"/>
  <c r="D23" i="2" s="1"/>
  <c r="D20" i="2"/>
  <c r="U10" i="2" l="1"/>
  <c r="S14" i="2"/>
  <c r="U14" i="2" s="1"/>
  <c r="U8" i="2"/>
  <c r="U6" i="2"/>
  <c r="S21" i="2"/>
  <c r="U21" i="2" s="1"/>
  <c r="J8" i="2"/>
  <c r="E21" i="2"/>
  <c r="G21" i="2" s="1"/>
  <c r="E20" i="2"/>
  <c r="G20" i="2" s="1"/>
  <c r="E22" i="2"/>
  <c r="G22" i="2" s="1"/>
  <c r="E23" i="2"/>
  <c r="G23" i="2" s="1"/>
  <c r="U25" i="2" l="1"/>
  <c r="U27" i="2"/>
  <c r="U36" i="2"/>
  <c r="U34" i="2"/>
  <c r="U28" i="2"/>
  <c r="U26" i="2"/>
  <c r="U30" i="2"/>
  <c r="U33" i="2"/>
  <c r="U31" i="2"/>
  <c r="U35" i="2"/>
  <c r="U32" i="2"/>
  <c r="U17" i="2"/>
  <c r="U18" i="2"/>
  <c r="C16" i="3"/>
  <c r="D16" i="3" s="1"/>
  <c r="K7" i="3" s="1"/>
  <c r="J17" i="3" l="1"/>
  <c r="J15" i="3" s="1"/>
  <c r="E14" i="3"/>
  <c r="E15" i="3"/>
  <c r="P4" i="3" l="1"/>
  <c r="P5" i="3"/>
  <c r="P8" i="3"/>
  <c r="P9" i="3"/>
  <c r="P7" i="3"/>
  <c r="P6" i="3"/>
</calcChain>
</file>

<file path=xl/sharedStrings.xml><?xml version="1.0" encoding="utf-8"?>
<sst xmlns="http://schemas.openxmlformats.org/spreadsheetml/2006/main" count="1102" uniqueCount="95">
  <si>
    <t>Minggu Ke-</t>
  </si>
  <si>
    <t>Faktor Perlakuan</t>
  </si>
  <si>
    <t>Tinggi Tanaman (cm) pada ulangan</t>
  </si>
  <si>
    <t xml:space="preserve">Total </t>
  </si>
  <si>
    <t>Rata-rata</t>
  </si>
  <si>
    <t>K1</t>
  </si>
  <si>
    <t>K2</t>
  </si>
  <si>
    <t>K3</t>
  </si>
  <si>
    <t>K4</t>
  </si>
  <si>
    <t>K5</t>
  </si>
  <si>
    <t>K0</t>
  </si>
  <si>
    <t>Jumlah daun (helai) pada ulangan</t>
  </si>
  <si>
    <t>Umur saat berbunga-bunga</t>
  </si>
  <si>
    <t>Total</t>
  </si>
  <si>
    <t>Jumlah Cabang Primer dan Sekunder Tanaman Cabai Rawit</t>
  </si>
  <si>
    <t>K0 Primer</t>
  </si>
  <si>
    <t>K0 Sekunder</t>
  </si>
  <si>
    <t>K1 Primer</t>
  </si>
  <si>
    <t>K1 Sekunder</t>
  </si>
  <si>
    <t>K2 Primer</t>
  </si>
  <si>
    <t>K2 Sekunder</t>
  </si>
  <si>
    <t>K3 Primer</t>
  </si>
  <si>
    <t>K3 Sekunder</t>
  </si>
  <si>
    <t>K4 Primer</t>
  </si>
  <si>
    <t>K4 Sekunder</t>
  </si>
  <si>
    <t>K5 Primer</t>
  </si>
  <si>
    <t>K5 Sekunder</t>
  </si>
  <si>
    <t>JUMLAH</t>
  </si>
  <si>
    <t>RERATA</t>
  </si>
  <si>
    <t>TABEL ANOVA</t>
  </si>
  <si>
    <t>SK</t>
  </si>
  <si>
    <t>db</t>
  </si>
  <si>
    <t>JK</t>
  </si>
  <si>
    <t>KT</t>
  </si>
  <si>
    <t xml:space="preserve"> F Hitung</t>
  </si>
  <si>
    <t>F Tabel 5%</t>
  </si>
  <si>
    <t>Notasi</t>
  </si>
  <si>
    <t>Galat</t>
  </si>
  <si>
    <t>faktor K</t>
  </si>
  <si>
    <t>faktor Primer dan Sekunder</t>
  </si>
  <si>
    <t>TABEL 2 ARAH</t>
  </si>
  <si>
    <t>JMLH</t>
  </si>
  <si>
    <t>FK</t>
  </si>
  <si>
    <t>KK</t>
  </si>
  <si>
    <t>SD</t>
  </si>
  <si>
    <t>BNJ Hitung</t>
  </si>
  <si>
    <t>Perlakuan</t>
  </si>
  <si>
    <t>BNJ+RATA2</t>
  </si>
  <si>
    <t>Simbol</t>
  </si>
  <si>
    <t>a</t>
  </si>
  <si>
    <t>Primer</t>
  </si>
  <si>
    <t>Sekunder</t>
  </si>
  <si>
    <t>Interaksi</t>
  </si>
  <si>
    <t>RATA2 Interaksi</t>
  </si>
  <si>
    <t>Keterangan Angka</t>
  </si>
  <si>
    <t>Jumlah Perlakuan</t>
  </si>
  <si>
    <t>Jumlah faktor K</t>
  </si>
  <si>
    <t>Jumlah faktor primer dan sekunder</t>
  </si>
  <si>
    <t>Jumlah kelompok</t>
  </si>
  <si>
    <t>RATA2 K</t>
  </si>
  <si>
    <t>RATA2 Primer Sekunder</t>
  </si>
  <si>
    <t>RATA2 Perlakuan</t>
  </si>
  <si>
    <t>b</t>
  </si>
  <si>
    <t>BNJ 5% (36,6)</t>
  </si>
  <si>
    <t>c</t>
  </si>
  <si>
    <t>d</t>
  </si>
  <si>
    <t>Sifat</t>
  </si>
  <si>
    <t>RATA2 Sifat</t>
  </si>
  <si>
    <t>BNJ 5% (36,2)</t>
  </si>
  <si>
    <t>BNJ 5% (36,12)</t>
  </si>
  <si>
    <t>e</t>
  </si>
  <si>
    <t>f</t>
  </si>
  <si>
    <t>g</t>
  </si>
  <si>
    <t>h</t>
  </si>
  <si>
    <t>i</t>
  </si>
  <si>
    <t>j</t>
  </si>
  <si>
    <t>k</t>
  </si>
  <si>
    <t>DB</t>
  </si>
  <si>
    <t>F-Hit</t>
  </si>
  <si>
    <t>F Tabel</t>
  </si>
  <si>
    <t>Kelompok</t>
  </si>
  <si>
    <t>BNJ</t>
  </si>
  <si>
    <t>Alfa</t>
  </si>
  <si>
    <t>KTG</t>
  </si>
  <si>
    <t>JK Perlakuan</t>
  </si>
  <si>
    <t>P0</t>
  </si>
  <si>
    <t>JK Total</t>
  </si>
  <si>
    <t>P1</t>
  </si>
  <si>
    <t>JK Kelompok</t>
  </si>
  <si>
    <t>P2</t>
  </si>
  <si>
    <t>P3</t>
  </si>
  <si>
    <t>P4</t>
  </si>
  <si>
    <t>P5</t>
  </si>
  <si>
    <t>Signifikan</t>
  </si>
  <si>
    <t>Tidak Signifikan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</si>
</sst>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9ED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5">
    <xf numFmtId="0" fontId="0" fillId="0" borderId="0" xfId="0"/>
    <xf numFmtId="0" fontId="0" fillId="0" borderId="4" xfId="0" applyBorder="1"/>
    <xf numFmtId="0" fontId="0" fillId="0" borderId="17" xfId="0" applyBorder="1"/>
    <xf numFmtId="0" fontId="0" fillId="0" borderId="5" xfId="0" applyBorder="1"/>
    <xf numFmtId="0" fontId="0" fillId="0" borderId="10" xfId="0" applyBorder="1"/>
    <xf numFmtId="0" fontId="0" fillId="0" borderId="18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3" borderId="32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16" xfId="0" applyFont="1" applyFill="1" applyBorder="1"/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4" xfId="0" applyNumberFormat="1" applyBorder="1"/>
    <xf numFmtId="0" fontId="0" fillId="4" borderId="0" xfId="0" applyFill="1" applyAlignment="1">
      <alignment horizontal="left"/>
    </xf>
    <xf numFmtId="0" fontId="0" fillId="4" borderId="0" xfId="0" applyFill="1"/>
    <xf numFmtId="164" fontId="0" fillId="0" borderId="3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35" xfId="0" applyFill="1" applyBorder="1" applyAlignment="1">
      <alignment horizontal="left"/>
    </xf>
    <xf numFmtId="0" fontId="0" fillId="0" borderId="34" xfId="0" applyBorder="1"/>
    <xf numFmtId="0" fontId="0" fillId="5" borderId="34" xfId="0" applyFill="1" applyBorder="1"/>
    <xf numFmtId="0" fontId="0" fillId="6" borderId="34" xfId="0" applyFill="1" applyBorder="1"/>
    <xf numFmtId="0" fontId="0" fillId="0" borderId="36" xfId="0" applyBorder="1"/>
    <xf numFmtId="0" fontId="0" fillId="5" borderId="37" xfId="0" applyFill="1" applyBorder="1"/>
    <xf numFmtId="1" fontId="0" fillId="0" borderId="34" xfId="0" applyNumberFormat="1" applyBorder="1"/>
    <xf numFmtId="1" fontId="0" fillId="0" borderId="34" xfId="0" applyNumberFormat="1" applyBorder="1" applyAlignment="1">
      <alignment horizontal="center"/>
    </xf>
    <xf numFmtId="1" fontId="0" fillId="0" borderId="38" xfId="0" applyNumberFormat="1" applyBorder="1"/>
    <xf numFmtId="0" fontId="0" fillId="0" borderId="39" xfId="0" applyBorder="1"/>
    <xf numFmtId="2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34" xfId="0" applyFont="1" applyBorder="1" applyAlignment="1">
      <alignment horizontal="center"/>
    </xf>
    <xf numFmtId="2" fontId="10" fillId="0" borderId="34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2" fontId="8" fillId="7" borderId="0" xfId="0" applyNumberFormat="1" applyFont="1" applyFill="1" applyAlignment="1">
      <alignment horizontal="center" vertical="center"/>
    </xf>
    <xf numFmtId="0" fontId="11" fillId="0" borderId="24" xfId="0" applyFont="1" applyBorder="1" applyAlignment="1">
      <alignment horizontal="center"/>
    </xf>
    <xf numFmtId="165" fontId="11" fillId="0" borderId="24" xfId="0" applyNumberFormat="1" applyFont="1" applyBorder="1" applyAlignment="1">
      <alignment horizontal="center"/>
    </xf>
    <xf numFmtId="2" fontId="11" fillId="0" borderId="24" xfId="0" applyNumberFormat="1" applyFont="1" applyBorder="1" applyAlignment="1">
      <alignment horizontal="center"/>
    </xf>
    <xf numFmtId="10" fontId="6" fillId="0" borderId="0" xfId="1" applyNumberFormat="1" applyFont="1" applyFill="1" applyBorder="1" applyAlignment="1">
      <alignment horizontal="left" vertical="center"/>
    </xf>
    <xf numFmtId="2" fontId="11" fillId="0" borderId="38" xfId="0" applyNumberFormat="1" applyFont="1" applyBorder="1" applyAlignment="1">
      <alignment horizontal="center"/>
    </xf>
    <xf numFmtId="2" fontId="8" fillId="0" borderId="18" xfId="0" applyNumberFormat="1" applyFont="1" applyBorder="1"/>
    <xf numFmtId="0" fontId="0" fillId="0" borderId="40" xfId="0" applyBorder="1"/>
    <xf numFmtId="0" fontId="0" fillId="0" borderId="19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2" fontId="11" fillId="0" borderId="34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3" borderId="2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2" fillId="3" borderId="2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9" xfId="0" applyFill="1" applyBorder="1" applyAlignment="1">
      <alignment horizontal="center"/>
    </xf>
    <xf numFmtId="2" fontId="9" fillId="0" borderId="34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ED90-9306-4D5C-9151-59A2035FC913}">
  <dimension ref="B3:Z53"/>
  <sheetViews>
    <sheetView topLeftCell="J1" zoomScale="66" zoomScaleNormal="100" workbookViewId="0">
      <selection activeCell="Y20" sqref="Y20"/>
    </sheetView>
  </sheetViews>
  <sheetFormatPr defaultRowHeight="14.5" x14ac:dyDescent="0.35"/>
  <cols>
    <col min="2" max="2" width="10.453125" customWidth="1"/>
    <col min="3" max="3" width="15.26953125" customWidth="1"/>
    <col min="4" max="7" width="9" customWidth="1"/>
    <col min="11" max="11" width="11.54296875" customWidth="1"/>
    <col min="12" max="12" width="16.7265625" customWidth="1"/>
    <col min="20" max="20" width="17.1796875" customWidth="1"/>
    <col min="21" max="24" width="12.81640625" customWidth="1"/>
    <col min="25" max="25" width="9.453125" customWidth="1"/>
  </cols>
  <sheetData>
    <row r="3" spans="2:26" ht="15" thickBot="1" x14ac:dyDescent="0.4"/>
    <row r="4" spans="2:26" ht="15" thickBot="1" x14ac:dyDescent="0.4">
      <c r="B4" s="96" t="s">
        <v>0</v>
      </c>
      <c r="C4" s="98" t="s">
        <v>1</v>
      </c>
      <c r="D4" s="105" t="s">
        <v>2</v>
      </c>
      <c r="E4" s="106"/>
      <c r="F4" s="106"/>
      <c r="G4" s="107"/>
      <c r="H4" s="100" t="s">
        <v>3</v>
      </c>
      <c r="I4" s="98" t="s">
        <v>4</v>
      </c>
      <c r="K4" s="96" t="s">
        <v>0</v>
      </c>
      <c r="L4" s="98" t="s">
        <v>1</v>
      </c>
      <c r="M4" s="105" t="s">
        <v>11</v>
      </c>
      <c r="N4" s="106"/>
      <c r="O4" s="106"/>
      <c r="P4" s="107"/>
      <c r="Q4" s="100" t="s">
        <v>3</v>
      </c>
      <c r="R4" s="98" t="s">
        <v>4</v>
      </c>
      <c r="T4" s="108" t="s">
        <v>1</v>
      </c>
      <c r="U4" s="121" t="s">
        <v>12</v>
      </c>
      <c r="V4" s="122"/>
      <c r="W4" s="122"/>
      <c r="X4" s="122"/>
      <c r="Y4" s="110" t="s">
        <v>13</v>
      </c>
      <c r="Z4" s="110" t="s">
        <v>4</v>
      </c>
    </row>
    <row r="5" spans="2:26" ht="15" thickBot="1" x14ac:dyDescent="0.4">
      <c r="B5" s="97"/>
      <c r="C5" s="99"/>
      <c r="D5" s="10">
        <v>1</v>
      </c>
      <c r="E5" s="11">
        <v>2</v>
      </c>
      <c r="F5" s="10">
        <v>3</v>
      </c>
      <c r="G5" s="11">
        <v>4</v>
      </c>
      <c r="H5" s="101"/>
      <c r="I5" s="99"/>
      <c r="K5" s="97"/>
      <c r="L5" s="99"/>
      <c r="M5" s="10">
        <v>1</v>
      </c>
      <c r="N5" s="11">
        <v>2</v>
      </c>
      <c r="O5" s="10">
        <v>3</v>
      </c>
      <c r="P5" s="11">
        <v>4</v>
      </c>
      <c r="Q5" s="101"/>
      <c r="R5" s="99"/>
      <c r="T5" s="109"/>
      <c r="U5" s="24">
        <v>1</v>
      </c>
      <c r="V5" s="24">
        <f>U5+1</f>
        <v>2</v>
      </c>
      <c r="W5" s="25">
        <f t="shared" ref="W5:X5" si="0">V5+1</f>
        <v>3</v>
      </c>
      <c r="X5" s="24">
        <f t="shared" si="0"/>
        <v>4</v>
      </c>
      <c r="Y5" s="111"/>
      <c r="Z5" s="111"/>
    </row>
    <row r="6" spans="2:26" x14ac:dyDescent="0.35">
      <c r="B6" s="102">
        <v>2</v>
      </c>
      <c r="C6" s="7" t="s">
        <v>10</v>
      </c>
      <c r="D6" s="12">
        <v>5</v>
      </c>
      <c r="E6" s="13">
        <v>6</v>
      </c>
      <c r="F6" s="12">
        <v>5</v>
      </c>
      <c r="G6" s="13">
        <v>5</v>
      </c>
      <c r="H6" s="4">
        <f>SUM(D6:G6)</f>
        <v>21</v>
      </c>
      <c r="I6" s="1">
        <f>AVERAGE(D6:G6)</f>
        <v>5.25</v>
      </c>
      <c r="K6" s="102">
        <v>2</v>
      </c>
      <c r="L6" s="19" t="s">
        <v>10</v>
      </c>
      <c r="M6" s="13">
        <v>6</v>
      </c>
      <c r="N6" s="12">
        <v>5</v>
      </c>
      <c r="O6" s="13">
        <v>6</v>
      </c>
      <c r="P6" s="12">
        <v>7</v>
      </c>
      <c r="Q6" s="1">
        <f>SUM(M6:P6)</f>
        <v>24</v>
      </c>
      <c r="R6" s="21">
        <f>AVERAGE(M6:P6)</f>
        <v>6</v>
      </c>
      <c r="T6" s="19" t="s">
        <v>10</v>
      </c>
      <c r="U6" s="7">
        <v>124</v>
      </c>
      <c r="V6" s="7">
        <v>126</v>
      </c>
      <c r="W6" s="7">
        <v>126</v>
      </c>
      <c r="X6" s="7">
        <v>128</v>
      </c>
      <c r="Y6" s="7">
        <f>SUM(U6:X6)</f>
        <v>504</v>
      </c>
      <c r="Z6" s="7">
        <f>AVERAGE(U6:X6)</f>
        <v>126</v>
      </c>
    </row>
    <row r="7" spans="2:26" x14ac:dyDescent="0.35">
      <c r="B7" s="103"/>
      <c r="C7" s="8" t="s">
        <v>5</v>
      </c>
      <c r="D7" s="14">
        <v>7</v>
      </c>
      <c r="E7" s="15">
        <v>7</v>
      </c>
      <c r="F7" s="14">
        <v>6</v>
      </c>
      <c r="G7" s="15">
        <v>6</v>
      </c>
      <c r="H7" s="5">
        <f t="shared" ref="H7:H53" si="1">SUM(D7:G7)</f>
        <v>26</v>
      </c>
      <c r="I7" s="2">
        <f t="shared" ref="I7:I53" si="2">AVERAGE(D7:G7)</f>
        <v>6.5</v>
      </c>
      <c r="K7" s="103"/>
      <c r="L7" s="18" t="s">
        <v>5</v>
      </c>
      <c r="M7" s="15">
        <v>8</v>
      </c>
      <c r="N7" s="14">
        <v>7</v>
      </c>
      <c r="O7" s="15">
        <v>8</v>
      </c>
      <c r="P7" s="14">
        <v>8</v>
      </c>
      <c r="Q7" s="2">
        <f t="shared" ref="Q7:Q53" si="3">SUM(M7:P7)</f>
        <v>31</v>
      </c>
      <c r="R7" s="22">
        <f t="shared" ref="R7:R53" si="4">AVERAGE(M7:P7)</f>
        <v>7.75</v>
      </c>
      <c r="T7" s="18" t="s">
        <v>5</v>
      </c>
      <c r="U7" s="8">
        <v>121</v>
      </c>
      <c r="V7" s="8">
        <v>123</v>
      </c>
      <c r="W7" s="8">
        <v>124</v>
      </c>
      <c r="X7" s="8">
        <v>125</v>
      </c>
      <c r="Y7" s="8">
        <f t="shared" ref="Y7:Y11" si="5">SUM(U7:X7)</f>
        <v>493</v>
      </c>
      <c r="Z7" s="8">
        <f t="shared" ref="Z7:Z11" si="6">AVERAGE(U7:X7)</f>
        <v>123.25</v>
      </c>
    </row>
    <row r="8" spans="2:26" x14ac:dyDescent="0.35">
      <c r="B8" s="103"/>
      <c r="C8" s="8" t="s">
        <v>6</v>
      </c>
      <c r="D8" s="14">
        <v>7</v>
      </c>
      <c r="E8" s="15">
        <v>7</v>
      </c>
      <c r="F8" s="14">
        <v>7</v>
      </c>
      <c r="G8" s="15">
        <v>7</v>
      </c>
      <c r="H8" s="5">
        <f t="shared" si="1"/>
        <v>28</v>
      </c>
      <c r="I8" s="2">
        <f t="shared" si="2"/>
        <v>7</v>
      </c>
      <c r="K8" s="103"/>
      <c r="L8" s="18" t="s">
        <v>6</v>
      </c>
      <c r="M8" s="15">
        <v>9</v>
      </c>
      <c r="N8" s="14">
        <v>8</v>
      </c>
      <c r="O8" s="15">
        <v>9</v>
      </c>
      <c r="P8" s="14">
        <v>8</v>
      </c>
      <c r="Q8" s="2">
        <f t="shared" si="3"/>
        <v>34</v>
      </c>
      <c r="R8" s="22">
        <f t="shared" si="4"/>
        <v>8.5</v>
      </c>
      <c r="T8" s="18" t="s">
        <v>6</v>
      </c>
      <c r="U8" s="8">
        <v>119</v>
      </c>
      <c r="V8" s="8">
        <v>120</v>
      </c>
      <c r="W8" s="8">
        <v>119</v>
      </c>
      <c r="X8" s="8">
        <v>117</v>
      </c>
      <c r="Y8" s="8">
        <f t="shared" si="5"/>
        <v>475</v>
      </c>
      <c r="Z8" s="8">
        <f t="shared" si="6"/>
        <v>118.75</v>
      </c>
    </row>
    <row r="9" spans="2:26" x14ac:dyDescent="0.35">
      <c r="B9" s="103"/>
      <c r="C9" s="8" t="s">
        <v>7</v>
      </c>
      <c r="D9" s="14">
        <v>8</v>
      </c>
      <c r="E9" s="15">
        <v>8</v>
      </c>
      <c r="F9" s="14">
        <v>7</v>
      </c>
      <c r="G9" s="15">
        <v>7</v>
      </c>
      <c r="H9" s="5">
        <f t="shared" si="1"/>
        <v>30</v>
      </c>
      <c r="I9" s="2">
        <f t="shared" si="2"/>
        <v>7.5</v>
      </c>
      <c r="K9" s="103"/>
      <c r="L9" s="18" t="s">
        <v>7</v>
      </c>
      <c r="M9" s="15">
        <v>11</v>
      </c>
      <c r="N9" s="14">
        <v>10</v>
      </c>
      <c r="O9" s="15">
        <v>11</v>
      </c>
      <c r="P9" s="14">
        <v>10</v>
      </c>
      <c r="Q9" s="2">
        <f t="shared" si="3"/>
        <v>42</v>
      </c>
      <c r="R9" s="22">
        <f t="shared" si="4"/>
        <v>10.5</v>
      </c>
      <c r="T9" s="18" t="s">
        <v>7</v>
      </c>
      <c r="U9" s="8">
        <v>117</v>
      </c>
      <c r="V9" s="8">
        <v>118</v>
      </c>
      <c r="W9" s="8">
        <v>116</v>
      </c>
      <c r="X9" s="8">
        <v>114</v>
      </c>
      <c r="Y9" s="8">
        <f t="shared" si="5"/>
        <v>465</v>
      </c>
      <c r="Z9" s="8">
        <f t="shared" si="6"/>
        <v>116.25</v>
      </c>
    </row>
    <row r="10" spans="2:26" x14ac:dyDescent="0.35">
      <c r="B10" s="103"/>
      <c r="C10" s="8" t="s">
        <v>8</v>
      </c>
      <c r="D10" s="14">
        <v>8</v>
      </c>
      <c r="E10" s="15">
        <v>8</v>
      </c>
      <c r="F10" s="14">
        <v>8</v>
      </c>
      <c r="G10" s="15">
        <v>8</v>
      </c>
      <c r="H10" s="5">
        <f t="shared" si="1"/>
        <v>32</v>
      </c>
      <c r="I10" s="2">
        <f t="shared" si="2"/>
        <v>8</v>
      </c>
      <c r="K10" s="103"/>
      <c r="L10" s="18" t="s">
        <v>8</v>
      </c>
      <c r="M10" s="15">
        <v>12</v>
      </c>
      <c r="N10" s="14">
        <v>11</v>
      </c>
      <c r="O10" s="15">
        <v>12</v>
      </c>
      <c r="P10" s="14">
        <v>11</v>
      </c>
      <c r="Q10" s="2">
        <f t="shared" si="3"/>
        <v>46</v>
      </c>
      <c r="R10" s="22">
        <f t="shared" si="4"/>
        <v>11.5</v>
      </c>
      <c r="T10" s="18" t="s">
        <v>8</v>
      </c>
      <c r="U10" s="8">
        <v>115</v>
      </c>
      <c r="V10" s="8">
        <v>113</v>
      </c>
      <c r="W10" s="8">
        <v>112</v>
      </c>
      <c r="X10" s="8">
        <v>110</v>
      </c>
      <c r="Y10" s="8">
        <f t="shared" si="5"/>
        <v>450</v>
      </c>
      <c r="Z10" s="8">
        <f t="shared" si="6"/>
        <v>112.5</v>
      </c>
    </row>
    <row r="11" spans="2:26" ht="15" thickBot="1" x14ac:dyDescent="0.4">
      <c r="B11" s="104"/>
      <c r="C11" s="9" t="s">
        <v>9</v>
      </c>
      <c r="D11" s="16">
        <v>9</v>
      </c>
      <c r="E11" s="17">
        <v>9</v>
      </c>
      <c r="F11" s="16">
        <v>9</v>
      </c>
      <c r="G11" s="17">
        <v>9</v>
      </c>
      <c r="H11" s="6">
        <f t="shared" si="1"/>
        <v>36</v>
      </c>
      <c r="I11" s="3">
        <f t="shared" si="2"/>
        <v>9</v>
      </c>
      <c r="K11" s="104"/>
      <c r="L11" s="20" t="s">
        <v>9</v>
      </c>
      <c r="M11" s="17">
        <v>14</v>
      </c>
      <c r="N11" s="16">
        <v>13</v>
      </c>
      <c r="O11" s="17">
        <v>14</v>
      </c>
      <c r="P11" s="16">
        <v>13</v>
      </c>
      <c r="Q11" s="3">
        <f t="shared" si="3"/>
        <v>54</v>
      </c>
      <c r="R11" s="23">
        <f t="shared" si="4"/>
        <v>13.5</v>
      </c>
      <c r="T11" s="20" t="s">
        <v>9</v>
      </c>
      <c r="U11" s="9">
        <v>112</v>
      </c>
      <c r="V11" s="9">
        <v>110</v>
      </c>
      <c r="W11" s="9">
        <v>108</v>
      </c>
      <c r="X11" s="9">
        <v>98</v>
      </c>
      <c r="Y11" s="26">
        <f t="shared" si="5"/>
        <v>428</v>
      </c>
      <c r="Z11" s="26">
        <f t="shared" si="6"/>
        <v>107</v>
      </c>
    </row>
    <row r="12" spans="2:26" ht="15" thickBot="1" x14ac:dyDescent="0.4">
      <c r="B12" s="102">
        <v>4</v>
      </c>
      <c r="C12" s="7" t="s">
        <v>10</v>
      </c>
      <c r="D12" s="12">
        <v>7</v>
      </c>
      <c r="E12" s="13">
        <v>7</v>
      </c>
      <c r="F12" s="12">
        <v>6</v>
      </c>
      <c r="G12" s="13">
        <v>7</v>
      </c>
      <c r="H12" s="4">
        <f t="shared" si="1"/>
        <v>27</v>
      </c>
      <c r="I12" s="1">
        <f t="shared" si="2"/>
        <v>6.75</v>
      </c>
      <c r="K12" s="102">
        <v>4</v>
      </c>
      <c r="L12" s="19" t="s">
        <v>10</v>
      </c>
      <c r="M12" s="13">
        <v>11</v>
      </c>
      <c r="N12" s="12">
        <v>10</v>
      </c>
      <c r="O12" s="13">
        <v>11</v>
      </c>
      <c r="P12" s="12">
        <v>12</v>
      </c>
      <c r="Q12" s="1">
        <f t="shared" si="3"/>
        <v>44</v>
      </c>
      <c r="R12" s="21">
        <f t="shared" si="4"/>
        <v>11</v>
      </c>
    </row>
    <row r="13" spans="2:26" ht="15" thickBot="1" x14ac:dyDescent="0.4">
      <c r="B13" s="103"/>
      <c r="C13" s="8" t="s">
        <v>5</v>
      </c>
      <c r="D13" s="14">
        <v>9</v>
      </c>
      <c r="E13" s="15">
        <v>8</v>
      </c>
      <c r="F13" s="14">
        <v>8</v>
      </c>
      <c r="G13" s="15">
        <v>9</v>
      </c>
      <c r="H13" s="5">
        <f t="shared" si="1"/>
        <v>34</v>
      </c>
      <c r="I13" s="2">
        <f t="shared" si="2"/>
        <v>8.5</v>
      </c>
      <c r="K13" s="103"/>
      <c r="L13" s="18" t="s">
        <v>5</v>
      </c>
      <c r="M13" s="15">
        <v>13</v>
      </c>
      <c r="N13" s="14">
        <v>12</v>
      </c>
      <c r="O13" s="15">
        <v>13</v>
      </c>
      <c r="P13" s="14">
        <v>14</v>
      </c>
      <c r="Q13" s="2">
        <f t="shared" si="3"/>
        <v>52</v>
      </c>
      <c r="R13" s="22">
        <f t="shared" si="4"/>
        <v>13</v>
      </c>
      <c r="T13" s="115" t="s">
        <v>1</v>
      </c>
      <c r="U13" s="112" t="s">
        <v>14</v>
      </c>
      <c r="V13" s="113"/>
      <c r="W13" s="113"/>
      <c r="X13" s="114"/>
      <c r="Y13" s="117" t="s">
        <v>13</v>
      </c>
      <c r="Z13" s="119" t="s">
        <v>4</v>
      </c>
    </row>
    <row r="14" spans="2:26" ht="15" thickBot="1" x14ac:dyDescent="0.4">
      <c r="B14" s="103"/>
      <c r="C14" s="8" t="s">
        <v>6</v>
      </c>
      <c r="D14" s="14">
        <v>10</v>
      </c>
      <c r="E14" s="15">
        <v>10</v>
      </c>
      <c r="F14" s="14">
        <v>10</v>
      </c>
      <c r="G14" s="15">
        <v>10</v>
      </c>
      <c r="H14" s="5">
        <f t="shared" si="1"/>
        <v>40</v>
      </c>
      <c r="I14" s="2">
        <f t="shared" si="2"/>
        <v>10</v>
      </c>
      <c r="K14" s="103"/>
      <c r="L14" s="18" t="s">
        <v>6</v>
      </c>
      <c r="M14" s="15">
        <v>15</v>
      </c>
      <c r="N14" s="14">
        <v>14</v>
      </c>
      <c r="O14" s="15">
        <v>16</v>
      </c>
      <c r="P14" s="14">
        <v>15</v>
      </c>
      <c r="Q14" s="2">
        <f t="shared" si="3"/>
        <v>60</v>
      </c>
      <c r="R14" s="22">
        <f t="shared" si="4"/>
        <v>15</v>
      </c>
      <c r="T14" s="116"/>
      <c r="U14" s="31">
        <v>1</v>
      </c>
      <c r="V14" s="31">
        <v>2</v>
      </c>
      <c r="W14" s="32">
        <v>3</v>
      </c>
      <c r="X14" s="31">
        <v>4</v>
      </c>
      <c r="Y14" s="118"/>
      <c r="Z14" s="120"/>
    </row>
    <row r="15" spans="2:26" x14ac:dyDescent="0.35">
      <c r="B15" s="103"/>
      <c r="C15" s="8" t="s">
        <v>7</v>
      </c>
      <c r="D15" s="14">
        <v>11</v>
      </c>
      <c r="E15" s="15">
        <v>11</v>
      </c>
      <c r="F15" s="14">
        <v>11</v>
      </c>
      <c r="G15" s="15">
        <v>11</v>
      </c>
      <c r="H15" s="5">
        <f t="shared" si="1"/>
        <v>44</v>
      </c>
      <c r="I15" s="2">
        <f t="shared" si="2"/>
        <v>11</v>
      </c>
      <c r="K15" s="103"/>
      <c r="L15" s="18" t="s">
        <v>7</v>
      </c>
      <c r="M15" s="15">
        <v>17</v>
      </c>
      <c r="N15" s="14">
        <v>16</v>
      </c>
      <c r="O15" s="15">
        <v>17</v>
      </c>
      <c r="P15" s="14">
        <v>17</v>
      </c>
      <c r="Q15" s="2">
        <f t="shared" si="3"/>
        <v>67</v>
      </c>
      <c r="R15" s="22">
        <f t="shared" si="4"/>
        <v>16.75</v>
      </c>
      <c r="T15" s="33" t="s">
        <v>15</v>
      </c>
      <c r="U15" s="34">
        <v>4</v>
      </c>
      <c r="V15" s="35">
        <v>6</v>
      </c>
      <c r="W15" s="34">
        <v>5</v>
      </c>
      <c r="X15" s="35">
        <v>5</v>
      </c>
      <c r="Y15" s="34">
        <f>SUM(U15:X15)</f>
        <v>20</v>
      </c>
      <c r="Z15" s="36">
        <f>AVERAGE(U15:X15)</f>
        <v>5</v>
      </c>
    </row>
    <row r="16" spans="2:26" x14ac:dyDescent="0.35">
      <c r="B16" s="103"/>
      <c r="C16" s="8" t="s">
        <v>8</v>
      </c>
      <c r="D16" s="14">
        <v>12</v>
      </c>
      <c r="E16" s="15">
        <v>12</v>
      </c>
      <c r="F16" s="14">
        <v>12</v>
      </c>
      <c r="G16" s="15">
        <v>12</v>
      </c>
      <c r="H16" s="5">
        <f t="shared" si="1"/>
        <v>48</v>
      </c>
      <c r="I16" s="2">
        <f t="shared" si="2"/>
        <v>12</v>
      </c>
      <c r="K16" s="103"/>
      <c r="L16" s="18" t="s">
        <v>8</v>
      </c>
      <c r="M16" s="15">
        <v>19</v>
      </c>
      <c r="N16" s="14">
        <v>18</v>
      </c>
      <c r="O16" s="15">
        <v>19</v>
      </c>
      <c r="P16" s="14">
        <v>18</v>
      </c>
      <c r="Q16" s="2">
        <f t="shared" si="3"/>
        <v>74</v>
      </c>
      <c r="R16" s="22">
        <f t="shared" si="4"/>
        <v>18.5</v>
      </c>
      <c r="T16" s="37" t="s">
        <v>16</v>
      </c>
      <c r="U16" s="38">
        <v>9</v>
      </c>
      <c r="V16" s="39">
        <v>11</v>
      </c>
      <c r="W16" s="38">
        <v>13</v>
      </c>
      <c r="X16" s="39">
        <v>12</v>
      </c>
      <c r="Y16" s="38">
        <f t="shared" ref="Y16:Y26" si="7">SUM(U16:X16)</f>
        <v>45</v>
      </c>
      <c r="Z16" s="40">
        <f t="shared" ref="Z16:Z26" si="8">AVERAGE(U16:X16)</f>
        <v>11.25</v>
      </c>
    </row>
    <row r="17" spans="2:26" ht="15" thickBot="1" x14ac:dyDescent="0.4">
      <c r="B17" s="104"/>
      <c r="C17" s="9" t="s">
        <v>9</v>
      </c>
      <c r="D17" s="16">
        <v>13</v>
      </c>
      <c r="E17" s="17">
        <v>13</v>
      </c>
      <c r="F17" s="16">
        <v>13</v>
      </c>
      <c r="G17" s="17">
        <v>13</v>
      </c>
      <c r="H17" s="6">
        <f t="shared" si="1"/>
        <v>52</v>
      </c>
      <c r="I17" s="3">
        <f t="shared" si="2"/>
        <v>13</v>
      </c>
      <c r="K17" s="104"/>
      <c r="L17" s="20" t="s">
        <v>9</v>
      </c>
      <c r="M17" s="17">
        <v>21</v>
      </c>
      <c r="N17" s="16">
        <v>20</v>
      </c>
      <c r="O17" s="17">
        <v>21</v>
      </c>
      <c r="P17" s="16">
        <v>22</v>
      </c>
      <c r="Q17" s="3">
        <f t="shared" si="3"/>
        <v>84</v>
      </c>
      <c r="R17" s="23">
        <f t="shared" si="4"/>
        <v>21</v>
      </c>
      <c r="T17" s="37" t="s">
        <v>17</v>
      </c>
      <c r="U17" s="38">
        <v>6</v>
      </c>
      <c r="V17" s="39">
        <v>8</v>
      </c>
      <c r="W17" s="38">
        <v>9</v>
      </c>
      <c r="X17" s="39">
        <v>8</v>
      </c>
      <c r="Y17" s="38">
        <f t="shared" si="7"/>
        <v>31</v>
      </c>
      <c r="Z17" s="40">
        <f t="shared" si="8"/>
        <v>7.75</v>
      </c>
    </row>
    <row r="18" spans="2:26" x14ac:dyDescent="0.35">
      <c r="B18" s="102">
        <v>6</v>
      </c>
      <c r="C18" s="7" t="s">
        <v>10</v>
      </c>
      <c r="D18" s="12">
        <v>10</v>
      </c>
      <c r="E18" s="13">
        <v>11</v>
      </c>
      <c r="F18" s="12">
        <v>10</v>
      </c>
      <c r="G18" s="13">
        <v>10</v>
      </c>
      <c r="H18" s="4">
        <f t="shared" si="1"/>
        <v>41</v>
      </c>
      <c r="I18" s="1">
        <f t="shared" si="2"/>
        <v>10.25</v>
      </c>
      <c r="K18" s="102">
        <v>6</v>
      </c>
      <c r="L18" s="19" t="s">
        <v>10</v>
      </c>
      <c r="M18" s="13">
        <v>19</v>
      </c>
      <c r="N18" s="12">
        <v>18</v>
      </c>
      <c r="O18" s="13">
        <v>18</v>
      </c>
      <c r="P18" s="12">
        <v>19</v>
      </c>
      <c r="Q18" s="1">
        <f t="shared" si="3"/>
        <v>74</v>
      </c>
      <c r="R18" s="21">
        <f t="shared" si="4"/>
        <v>18.5</v>
      </c>
      <c r="T18" s="37" t="s">
        <v>18</v>
      </c>
      <c r="U18" s="38">
        <v>13</v>
      </c>
      <c r="V18" s="39">
        <v>15</v>
      </c>
      <c r="W18" s="38">
        <v>15</v>
      </c>
      <c r="X18" s="39">
        <v>15</v>
      </c>
      <c r="Y18" s="38">
        <f t="shared" si="7"/>
        <v>58</v>
      </c>
      <c r="Z18" s="40">
        <f t="shared" si="8"/>
        <v>14.5</v>
      </c>
    </row>
    <row r="19" spans="2:26" x14ac:dyDescent="0.35">
      <c r="B19" s="103"/>
      <c r="C19" s="8" t="s">
        <v>5</v>
      </c>
      <c r="D19" s="14">
        <v>11</v>
      </c>
      <c r="E19" s="15">
        <v>12</v>
      </c>
      <c r="F19" s="14">
        <v>12</v>
      </c>
      <c r="G19" s="15">
        <v>12</v>
      </c>
      <c r="H19" s="5">
        <f t="shared" si="1"/>
        <v>47</v>
      </c>
      <c r="I19" s="2">
        <f t="shared" si="2"/>
        <v>11.75</v>
      </c>
      <c r="K19" s="103"/>
      <c r="L19" s="18" t="s">
        <v>5</v>
      </c>
      <c r="M19" s="15">
        <v>21</v>
      </c>
      <c r="N19" s="14">
        <v>22</v>
      </c>
      <c r="O19" s="15">
        <v>21</v>
      </c>
      <c r="P19" s="14">
        <v>22</v>
      </c>
      <c r="Q19" s="2">
        <f t="shared" si="3"/>
        <v>86</v>
      </c>
      <c r="R19" s="22">
        <f t="shared" si="4"/>
        <v>21.5</v>
      </c>
      <c r="T19" s="37" t="s">
        <v>19</v>
      </c>
      <c r="U19" s="38">
        <v>8</v>
      </c>
      <c r="V19" s="39">
        <v>10</v>
      </c>
      <c r="W19" s="38">
        <v>11</v>
      </c>
      <c r="X19" s="39">
        <v>9</v>
      </c>
      <c r="Y19" s="38">
        <f t="shared" si="7"/>
        <v>38</v>
      </c>
      <c r="Z19" s="40">
        <f t="shared" si="8"/>
        <v>9.5</v>
      </c>
    </row>
    <row r="20" spans="2:26" x14ac:dyDescent="0.35">
      <c r="B20" s="103"/>
      <c r="C20" s="8" t="s">
        <v>6</v>
      </c>
      <c r="D20" s="14">
        <v>13</v>
      </c>
      <c r="E20" s="15">
        <v>14</v>
      </c>
      <c r="F20" s="14">
        <v>13</v>
      </c>
      <c r="G20" s="15">
        <v>14</v>
      </c>
      <c r="H20" s="5">
        <f t="shared" si="1"/>
        <v>54</v>
      </c>
      <c r="I20" s="2">
        <f t="shared" si="2"/>
        <v>13.5</v>
      </c>
      <c r="K20" s="103"/>
      <c r="L20" s="18" t="s">
        <v>6</v>
      </c>
      <c r="M20" s="15">
        <v>23</v>
      </c>
      <c r="N20" s="14">
        <v>24</v>
      </c>
      <c r="O20" s="15">
        <v>23</v>
      </c>
      <c r="P20" s="14">
        <v>24</v>
      </c>
      <c r="Q20" s="2">
        <f t="shared" si="3"/>
        <v>94</v>
      </c>
      <c r="R20" s="22">
        <f t="shared" si="4"/>
        <v>23.5</v>
      </c>
      <c r="T20" s="37" t="s">
        <v>20</v>
      </c>
      <c r="U20" s="38">
        <v>17</v>
      </c>
      <c r="V20" s="39">
        <v>19</v>
      </c>
      <c r="W20" s="38">
        <v>20</v>
      </c>
      <c r="X20" s="39">
        <v>17</v>
      </c>
      <c r="Y20" s="38">
        <f t="shared" si="7"/>
        <v>73</v>
      </c>
      <c r="Z20" s="40">
        <f t="shared" si="8"/>
        <v>18.25</v>
      </c>
    </row>
    <row r="21" spans="2:26" x14ac:dyDescent="0.35">
      <c r="B21" s="103"/>
      <c r="C21" s="8" t="s">
        <v>7</v>
      </c>
      <c r="D21" s="14">
        <v>15</v>
      </c>
      <c r="E21" s="15">
        <v>16</v>
      </c>
      <c r="F21" s="14">
        <v>15</v>
      </c>
      <c r="G21" s="15">
        <v>16</v>
      </c>
      <c r="H21" s="5">
        <f t="shared" si="1"/>
        <v>62</v>
      </c>
      <c r="I21" s="2">
        <f t="shared" si="2"/>
        <v>15.5</v>
      </c>
      <c r="K21" s="103"/>
      <c r="L21" s="18" t="s">
        <v>7</v>
      </c>
      <c r="M21" s="15">
        <v>26</v>
      </c>
      <c r="N21" s="14">
        <v>28</v>
      </c>
      <c r="O21" s="15">
        <v>27</v>
      </c>
      <c r="P21" s="14">
        <v>27</v>
      </c>
      <c r="Q21" s="2">
        <f t="shared" si="3"/>
        <v>108</v>
      </c>
      <c r="R21" s="22">
        <f t="shared" si="4"/>
        <v>27</v>
      </c>
      <c r="T21" s="37" t="s">
        <v>21</v>
      </c>
      <c r="U21" s="38">
        <v>10</v>
      </c>
      <c r="V21" s="39">
        <v>12</v>
      </c>
      <c r="W21" s="38">
        <v>11</v>
      </c>
      <c r="X21" s="39">
        <v>11</v>
      </c>
      <c r="Y21" s="38">
        <f t="shared" si="7"/>
        <v>44</v>
      </c>
      <c r="Z21" s="40">
        <f t="shared" si="8"/>
        <v>11</v>
      </c>
    </row>
    <row r="22" spans="2:26" x14ac:dyDescent="0.35">
      <c r="B22" s="103"/>
      <c r="C22" s="8" t="s">
        <v>8</v>
      </c>
      <c r="D22" s="14">
        <v>17</v>
      </c>
      <c r="E22" s="15">
        <v>17</v>
      </c>
      <c r="F22" s="14">
        <v>17</v>
      </c>
      <c r="G22" s="15">
        <v>17</v>
      </c>
      <c r="H22" s="5">
        <f t="shared" si="1"/>
        <v>68</v>
      </c>
      <c r="I22" s="2">
        <f t="shared" si="2"/>
        <v>17</v>
      </c>
      <c r="K22" s="103"/>
      <c r="L22" s="18" t="s">
        <v>8</v>
      </c>
      <c r="M22" s="15">
        <v>29</v>
      </c>
      <c r="N22" s="14">
        <v>30</v>
      </c>
      <c r="O22" s="15">
        <v>29</v>
      </c>
      <c r="P22" s="14">
        <v>30</v>
      </c>
      <c r="Q22" s="2">
        <f t="shared" si="3"/>
        <v>118</v>
      </c>
      <c r="R22" s="22">
        <f t="shared" si="4"/>
        <v>29.5</v>
      </c>
      <c r="T22" s="37" t="s">
        <v>22</v>
      </c>
      <c r="U22" s="38">
        <v>21</v>
      </c>
      <c r="V22" s="39">
        <v>23</v>
      </c>
      <c r="W22" s="38">
        <v>24</v>
      </c>
      <c r="X22" s="39">
        <v>27</v>
      </c>
      <c r="Y22" s="38">
        <f t="shared" si="7"/>
        <v>95</v>
      </c>
      <c r="Z22" s="40">
        <f t="shared" si="8"/>
        <v>23.75</v>
      </c>
    </row>
    <row r="23" spans="2:26" ht="15" thickBot="1" x14ac:dyDescent="0.4">
      <c r="B23" s="104"/>
      <c r="C23" s="9" t="s">
        <v>9</v>
      </c>
      <c r="D23" s="16">
        <v>18</v>
      </c>
      <c r="E23" s="17">
        <v>18</v>
      </c>
      <c r="F23" s="16">
        <v>18</v>
      </c>
      <c r="G23" s="17">
        <v>18</v>
      </c>
      <c r="H23" s="6">
        <f t="shared" si="1"/>
        <v>72</v>
      </c>
      <c r="I23" s="3">
        <f t="shared" si="2"/>
        <v>18</v>
      </c>
      <c r="K23" s="104"/>
      <c r="L23" s="20" t="s">
        <v>9</v>
      </c>
      <c r="M23" s="17">
        <v>32</v>
      </c>
      <c r="N23" s="16">
        <v>33</v>
      </c>
      <c r="O23" s="17">
        <v>33</v>
      </c>
      <c r="P23" s="16">
        <v>33</v>
      </c>
      <c r="Q23" s="3">
        <f t="shared" si="3"/>
        <v>131</v>
      </c>
      <c r="R23" s="23">
        <f t="shared" si="4"/>
        <v>32.75</v>
      </c>
      <c r="T23" s="37" t="s">
        <v>23</v>
      </c>
      <c r="U23" s="38">
        <v>15</v>
      </c>
      <c r="V23" s="39">
        <v>17</v>
      </c>
      <c r="W23" s="38">
        <v>16</v>
      </c>
      <c r="X23" s="39">
        <v>15</v>
      </c>
      <c r="Y23" s="38">
        <f t="shared" si="7"/>
        <v>63</v>
      </c>
      <c r="Z23" s="40">
        <f t="shared" si="8"/>
        <v>15.75</v>
      </c>
    </row>
    <row r="24" spans="2:26" x14ac:dyDescent="0.35">
      <c r="B24" s="102">
        <v>8</v>
      </c>
      <c r="C24" s="7" t="s">
        <v>10</v>
      </c>
      <c r="D24" s="12">
        <v>13</v>
      </c>
      <c r="E24" s="13">
        <v>13</v>
      </c>
      <c r="F24" s="12">
        <v>12</v>
      </c>
      <c r="G24" s="13">
        <v>13</v>
      </c>
      <c r="H24" s="4">
        <f t="shared" si="1"/>
        <v>51</v>
      </c>
      <c r="I24" s="1">
        <f t="shared" si="2"/>
        <v>12.75</v>
      </c>
      <c r="K24" s="102">
        <v>8</v>
      </c>
      <c r="L24" s="19" t="s">
        <v>10</v>
      </c>
      <c r="M24" s="13">
        <v>26</v>
      </c>
      <c r="N24" s="12">
        <v>25</v>
      </c>
      <c r="O24" s="13">
        <v>26</v>
      </c>
      <c r="P24" s="12">
        <v>27</v>
      </c>
      <c r="Q24" s="1">
        <f t="shared" si="3"/>
        <v>104</v>
      </c>
      <c r="R24" s="21">
        <f t="shared" si="4"/>
        <v>26</v>
      </c>
      <c r="T24" s="37" t="s">
        <v>24</v>
      </c>
      <c r="U24" s="38">
        <v>26</v>
      </c>
      <c r="V24" s="39">
        <v>28</v>
      </c>
      <c r="W24" s="38">
        <v>27</v>
      </c>
      <c r="X24" s="39">
        <v>27</v>
      </c>
      <c r="Y24" s="38">
        <f t="shared" si="7"/>
        <v>108</v>
      </c>
      <c r="Z24" s="40">
        <f t="shared" si="8"/>
        <v>27</v>
      </c>
    </row>
    <row r="25" spans="2:26" x14ac:dyDescent="0.35">
      <c r="B25" s="103"/>
      <c r="C25" s="8" t="s">
        <v>5</v>
      </c>
      <c r="D25" s="14">
        <v>14</v>
      </c>
      <c r="E25" s="15">
        <v>15</v>
      </c>
      <c r="F25" s="14">
        <v>15</v>
      </c>
      <c r="G25" s="15">
        <v>15</v>
      </c>
      <c r="H25" s="5">
        <f t="shared" si="1"/>
        <v>59</v>
      </c>
      <c r="I25" s="2">
        <f t="shared" si="2"/>
        <v>14.75</v>
      </c>
      <c r="K25" s="103"/>
      <c r="L25" s="18" t="s">
        <v>5</v>
      </c>
      <c r="M25" s="15">
        <v>29</v>
      </c>
      <c r="N25" s="14">
        <v>28</v>
      </c>
      <c r="O25" s="15">
        <v>29</v>
      </c>
      <c r="P25" s="14">
        <v>29</v>
      </c>
      <c r="Q25" s="2">
        <f t="shared" si="3"/>
        <v>115</v>
      </c>
      <c r="R25" s="22">
        <f t="shared" si="4"/>
        <v>28.75</v>
      </c>
      <c r="T25" s="37" t="s">
        <v>25</v>
      </c>
      <c r="U25" s="38">
        <v>18</v>
      </c>
      <c r="V25" s="39">
        <v>20</v>
      </c>
      <c r="W25" s="38">
        <v>19</v>
      </c>
      <c r="X25" s="39">
        <v>23</v>
      </c>
      <c r="Y25" s="38">
        <f t="shared" si="7"/>
        <v>80</v>
      </c>
      <c r="Z25" s="40">
        <f t="shared" si="8"/>
        <v>20</v>
      </c>
    </row>
    <row r="26" spans="2:26" ht="15" thickBot="1" x14ac:dyDescent="0.4">
      <c r="B26" s="103"/>
      <c r="C26" s="8" t="s">
        <v>6</v>
      </c>
      <c r="D26" s="14">
        <v>17</v>
      </c>
      <c r="E26" s="15">
        <v>18</v>
      </c>
      <c r="F26" s="14">
        <v>17</v>
      </c>
      <c r="G26" s="15">
        <v>18</v>
      </c>
      <c r="H26" s="5">
        <f t="shared" si="1"/>
        <v>70</v>
      </c>
      <c r="I26" s="2">
        <f t="shared" si="2"/>
        <v>17.5</v>
      </c>
      <c r="K26" s="103"/>
      <c r="L26" s="18" t="s">
        <v>6</v>
      </c>
      <c r="M26" s="15">
        <v>32</v>
      </c>
      <c r="N26" s="14">
        <v>31</v>
      </c>
      <c r="O26" s="15">
        <v>32</v>
      </c>
      <c r="P26" s="14">
        <v>33</v>
      </c>
      <c r="Q26" s="2">
        <f t="shared" si="3"/>
        <v>128</v>
      </c>
      <c r="R26" s="22">
        <f t="shared" si="4"/>
        <v>32</v>
      </c>
      <c r="T26" s="41" t="s">
        <v>26</v>
      </c>
      <c r="U26" s="42">
        <v>35</v>
      </c>
      <c r="V26" s="43">
        <v>37</v>
      </c>
      <c r="W26" s="42">
        <v>36</v>
      </c>
      <c r="X26" s="43">
        <v>37</v>
      </c>
      <c r="Y26" s="42">
        <f t="shared" si="7"/>
        <v>145</v>
      </c>
      <c r="Z26" s="44">
        <f t="shared" si="8"/>
        <v>36.25</v>
      </c>
    </row>
    <row r="27" spans="2:26" x14ac:dyDescent="0.35">
      <c r="B27" s="103"/>
      <c r="C27" s="8" t="s">
        <v>7</v>
      </c>
      <c r="D27" s="14">
        <v>19</v>
      </c>
      <c r="E27" s="15">
        <v>20</v>
      </c>
      <c r="F27" s="14">
        <v>19</v>
      </c>
      <c r="G27" s="15">
        <v>20</v>
      </c>
      <c r="H27" s="5">
        <f t="shared" si="1"/>
        <v>78</v>
      </c>
      <c r="I27" s="2">
        <f t="shared" si="2"/>
        <v>19.5</v>
      </c>
      <c r="K27" s="103"/>
      <c r="L27" s="18" t="s">
        <v>7</v>
      </c>
      <c r="M27" s="15">
        <v>34</v>
      </c>
      <c r="N27" s="14">
        <v>33</v>
      </c>
      <c r="O27" s="15">
        <v>35</v>
      </c>
      <c r="P27" s="14">
        <v>35</v>
      </c>
      <c r="Q27" s="2">
        <f t="shared" si="3"/>
        <v>137</v>
      </c>
      <c r="R27" s="22">
        <f t="shared" si="4"/>
        <v>34.25</v>
      </c>
    </row>
    <row r="28" spans="2:26" x14ac:dyDescent="0.35">
      <c r="B28" s="103"/>
      <c r="C28" s="8" t="s">
        <v>8</v>
      </c>
      <c r="D28" s="14">
        <v>21</v>
      </c>
      <c r="E28" s="15">
        <v>22</v>
      </c>
      <c r="F28" s="14">
        <v>21</v>
      </c>
      <c r="G28" s="15">
        <v>22</v>
      </c>
      <c r="H28" s="5">
        <f t="shared" si="1"/>
        <v>86</v>
      </c>
      <c r="I28" s="2">
        <f t="shared" si="2"/>
        <v>21.5</v>
      </c>
      <c r="K28" s="103"/>
      <c r="L28" s="18" t="s">
        <v>8</v>
      </c>
      <c r="M28" s="15">
        <v>38</v>
      </c>
      <c r="N28" s="14">
        <v>39</v>
      </c>
      <c r="O28" s="15">
        <v>38</v>
      </c>
      <c r="P28" s="14">
        <v>39</v>
      </c>
      <c r="Q28" s="2">
        <f t="shared" si="3"/>
        <v>154</v>
      </c>
      <c r="R28" s="22">
        <f t="shared" si="4"/>
        <v>38.5</v>
      </c>
    </row>
    <row r="29" spans="2:26" ht="15" thickBot="1" x14ac:dyDescent="0.4">
      <c r="B29" s="104"/>
      <c r="C29" s="9" t="s">
        <v>9</v>
      </c>
      <c r="D29" s="16">
        <v>23</v>
      </c>
      <c r="E29" s="17">
        <v>24</v>
      </c>
      <c r="F29" s="16">
        <v>23</v>
      </c>
      <c r="G29" s="17">
        <v>24</v>
      </c>
      <c r="H29" s="6">
        <f t="shared" si="1"/>
        <v>94</v>
      </c>
      <c r="I29" s="3">
        <f t="shared" si="2"/>
        <v>23.5</v>
      </c>
      <c r="K29" s="104"/>
      <c r="L29" s="20" t="s">
        <v>9</v>
      </c>
      <c r="M29" s="17">
        <v>41</v>
      </c>
      <c r="N29" s="16">
        <v>42</v>
      </c>
      <c r="O29" s="17">
        <v>42</v>
      </c>
      <c r="P29" s="16">
        <v>42</v>
      </c>
      <c r="Q29" s="3">
        <f t="shared" si="3"/>
        <v>167</v>
      </c>
      <c r="R29" s="23">
        <f t="shared" si="4"/>
        <v>41.75</v>
      </c>
    </row>
    <row r="30" spans="2:26" x14ac:dyDescent="0.35">
      <c r="B30" s="102">
        <v>10</v>
      </c>
      <c r="C30" s="7" t="s">
        <v>10</v>
      </c>
      <c r="D30" s="12">
        <v>17</v>
      </c>
      <c r="E30" s="13">
        <v>16</v>
      </c>
      <c r="F30" s="12">
        <v>17</v>
      </c>
      <c r="G30" s="13">
        <v>16</v>
      </c>
      <c r="H30" s="4">
        <f t="shared" si="1"/>
        <v>66</v>
      </c>
      <c r="I30" s="1">
        <f t="shared" si="2"/>
        <v>16.5</v>
      </c>
      <c r="K30" s="102">
        <v>10</v>
      </c>
      <c r="L30" s="19" t="s">
        <v>10</v>
      </c>
      <c r="M30" s="13">
        <v>33</v>
      </c>
      <c r="N30" s="12">
        <v>32</v>
      </c>
      <c r="O30" s="13">
        <v>33</v>
      </c>
      <c r="P30" s="12">
        <v>33</v>
      </c>
      <c r="Q30" s="1">
        <f t="shared" si="3"/>
        <v>131</v>
      </c>
      <c r="R30" s="21">
        <f t="shared" si="4"/>
        <v>32.75</v>
      </c>
    </row>
    <row r="31" spans="2:26" x14ac:dyDescent="0.35">
      <c r="B31" s="103"/>
      <c r="C31" s="8" t="s">
        <v>5</v>
      </c>
      <c r="D31" s="14">
        <v>19</v>
      </c>
      <c r="E31" s="15">
        <v>18</v>
      </c>
      <c r="F31" s="14">
        <v>19</v>
      </c>
      <c r="G31" s="15">
        <v>18</v>
      </c>
      <c r="H31" s="5">
        <f t="shared" si="1"/>
        <v>74</v>
      </c>
      <c r="I31" s="2">
        <f t="shared" si="2"/>
        <v>18.5</v>
      </c>
      <c r="K31" s="103"/>
      <c r="L31" s="18" t="s">
        <v>5</v>
      </c>
      <c r="M31" s="15">
        <v>36</v>
      </c>
      <c r="N31" s="14">
        <v>35</v>
      </c>
      <c r="O31" s="15">
        <v>36</v>
      </c>
      <c r="P31" s="14">
        <v>36</v>
      </c>
      <c r="Q31" s="2">
        <f t="shared" si="3"/>
        <v>143</v>
      </c>
      <c r="R31" s="22">
        <f t="shared" si="4"/>
        <v>35.75</v>
      </c>
    </row>
    <row r="32" spans="2:26" x14ac:dyDescent="0.35">
      <c r="B32" s="103"/>
      <c r="C32" s="8" t="s">
        <v>6</v>
      </c>
      <c r="D32" s="14">
        <v>21</v>
      </c>
      <c r="E32" s="15">
        <v>23</v>
      </c>
      <c r="F32" s="14">
        <v>22</v>
      </c>
      <c r="G32" s="15">
        <v>23</v>
      </c>
      <c r="H32" s="5">
        <f t="shared" si="1"/>
        <v>89</v>
      </c>
      <c r="I32" s="2">
        <f t="shared" si="2"/>
        <v>22.25</v>
      </c>
      <c r="K32" s="103"/>
      <c r="L32" s="18" t="s">
        <v>6</v>
      </c>
      <c r="M32" s="15">
        <v>38</v>
      </c>
      <c r="N32" s="14">
        <v>37</v>
      </c>
      <c r="O32" s="15">
        <v>39</v>
      </c>
      <c r="P32" s="14">
        <v>38</v>
      </c>
      <c r="Q32" s="2">
        <f t="shared" si="3"/>
        <v>152</v>
      </c>
      <c r="R32" s="22">
        <f t="shared" si="4"/>
        <v>38</v>
      </c>
    </row>
    <row r="33" spans="2:18" x14ac:dyDescent="0.35">
      <c r="B33" s="103"/>
      <c r="C33" s="8" t="s">
        <v>7</v>
      </c>
      <c r="D33" s="14">
        <v>24</v>
      </c>
      <c r="E33" s="15">
        <v>25</v>
      </c>
      <c r="F33" s="14">
        <v>24</v>
      </c>
      <c r="G33" s="15">
        <v>24</v>
      </c>
      <c r="H33" s="5">
        <f t="shared" si="1"/>
        <v>97</v>
      </c>
      <c r="I33" s="2">
        <f t="shared" si="2"/>
        <v>24.25</v>
      </c>
      <c r="K33" s="103"/>
      <c r="L33" s="18" t="s">
        <v>7</v>
      </c>
      <c r="M33" s="15">
        <v>43</v>
      </c>
      <c r="N33" s="14">
        <v>42</v>
      </c>
      <c r="O33" s="15">
        <v>43</v>
      </c>
      <c r="P33" s="14">
        <v>43</v>
      </c>
      <c r="Q33" s="2">
        <f t="shared" si="3"/>
        <v>171</v>
      </c>
      <c r="R33" s="22">
        <f t="shared" si="4"/>
        <v>42.75</v>
      </c>
    </row>
    <row r="34" spans="2:18" x14ac:dyDescent="0.35">
      <c r="B34" s="103"/>
      <c r="C34" s="8" t="s">
        <v>8</v>
      </c>
      <c r="D34" s="14">
        <v>26</v>
      </c>
      <c r="E34" s="15">
        <v>26</v>
      </c>
      <c r="F34" s="14">
        <v>25</v>
      </c>
      <c r="G34" s="15">
        <v>25</v>
      </c>
      <c r="H34" s="5">
        <f t="shared" si="1"/>
        <v>102</v>
      </c>
      <c r="I34" s="2">
        <f t="shared" si="2"/>
        <v>25.5</v>
      </c>
      <c r="K34" s="103"/>
      <c r="L34" s="18" t="s">
        <v>8</v>
      </c>
      <c r="M34" s="15">
        <v>47</v>
      </c>
      <c r="N34" s="14">
        <v>46</v>
      </c>
      <c r="O34" s="15">
        <v>47</v>
      </c>
      <c r="P34" s="14">
        <v>47</v>
      </c>
      <c r="Q34" s="2">
        <f t="shared" si="3"/>
        <v>187</v>
      </c>
      <c r="R34" s="22">
        <f t="shared" si="4"/>
        <v>46.75</v>
      </c>
    </row>
    <row r="35" spans="2:18" ht="15" thickBot="1" x14ac:dyDescent="0.4">
      <c r="B35" s="104"/>
      <c r="C35" s="9" t="s">
        <v>9</v>
      </c>
      <c r="D35" s="16">
        <v>28</v>
      </c>
      <c r="E35" s="17">
        <v>27</v>
      </c>
      <c r="F35" s="16">
        <v>27</v>
      </c>
      <c r="G35" s="17">
        <v>28</v>
      </c>
      <c r="H35" s="6">
        <f t="shared" si="1"/>
        <v>110</v>
      </c>
      <c r="I35" s="3">
        <f t="shared" si="2"/>
        <v>27.5</v>
      </c>
      <c r="K35" s="104"/>
      <c r="L35" s="20" t="s">
        <v>9</v>
      </c>
      <c r="M35" s="17">
        <v>49</v>
      </c>
      <c r="N35" s="16">
        <v>48</v>
      </c>
      <c r="O35" s="17">
        <v>50</v>
      </c>
      <c r="P35" s="16">
        <v>50</v>
      </c>
      <c r="Q35" s="3">
        <f t="shared" si="3"/>
        <v>197</v>
      </c>
      <c r="R35" s="23">
        <f t="shared" si="4"/>
        <v>49.25</v>
      </c>
    </row>
    <row r="36" spans="2:18" x14ac:dyDescent="0.35">
      <c r="B36" s="102">
        <v>12</v>
      </c>
      <c r="C36" s="7" t="s">
        <v>10</v>
      </c>
      <c r="D36" s="12">
        <v>21</v>
      </c>
      <c r="E36" s="13">
        <v>22</v>
      </c>
      <c r="F36" s="12">
        <v>21</v>
      </c>
      <c r="G36" s="13">
        <v>22</v>
      </c>
      <c r="H36" s="4">
        <f t="shared" si="1"/>
        <v>86</v>
      </c>
      <c r="I36" s="1">
        <f t="shared" si="2"/>
        <v>21.5</v>
      </c>
      <c r="K36" s="102">
        <v>12</v>
      </c>
      <c r="L36" s="19" t="s">
        <v>10</v>
      </c>
      <c r="M36" s="13">
        <v>38</v>
      </c>
      <c r="N36" s="12">
        <v>39</v>
      </c>
      <c r="O36" s="13">
        <v>39</v>
      </c>
      <c r="P36" s="12">
        <v>38</v>
      </c>
      <c r="Q36" s="1">
        <f t="shared" si="3"/>
        <v>154</v>
      </c>
      <c r="R36" s="21">
        <f t="shared" si="4"/>
        <v>38.5</v>
      </c>
    </row>
    <row r="37" spans="2:18" x14ac:dyDescent="0.35">
      <c r="B37" s="103"/>
      <c r="C37" s="8" t="s">
        <v>5</v>
      </c>
      <c r="D37" s="14">
        <v>24</v>
      </c>
      <c r="E37" s="15">
        <v>25</v>
      </c>
      <c r="F37" s="14">
        <v>24</v>
      </c>
      <c r="G37" s="15">
        <v>24</v>
      </c>
      <c r="H37" s="5">
        <f t="shared" si="1"/>
        <v>97</v>
      </c>
      <c r="I37" s="2">
        <f t="shared" si="2"/>
        <v>24.25</v>
      </c>
      <c r="K37" s="103"/>
      <c r="L37" s="18" t="s">
        <v>5</v>
      </c>
      <c r="M37" s="15">
        <v>43</v>
      </c>
      <c r="N37" s="14">
        <v>44</v>
      </c>
      <c r="O37" s="15">
        <v>44</v>
      </c>
      <c r="P37" s="14">
        <v>43</v>
      </c>
      <c r="Q37" s="2">
        <f t="shared" si="3"/>
        <v>174</v>
      </c>
      <c r="R37" s="22">
        <f t="shared" si="4"/>
        <v>43.5</v>
      </c>
    </row>
    <row r="38" spans="2:18" x14ac:dyDescent="0.35">
      <c r="B38" s="103"/>
      <c r="C38" s="8" t="s">
        <v>6</v>
      </c>
      <c r="D38" s="14">
        <v>26</v>
      </c>
      <c r="E38" s="15">
        <v>26</v>
      </c>
      <c r="F38" s="14">
        <v>27</v>
      </c>
      <c r="G38" s="15">
        <v>26</v>
      </c>
      <c r="H38" s="5">
        <f t="shared" si="1"/>
        <v>105</v>
      </c>
      <c r="I38" s="2">
        <f t="shared" si="2"/>
        <v>26.25</v>
      </c>
      <c r="K38" s="103"/>
      <c r="L38" s="18" t="s">
        <v>6</v>
      </c>
      <c r="M38" s="15">
        <v>48</v>
      </c>
      <c r="N38" s="14">
        <v>49</v>
      </c>
      <c r="O38" s="15">
        <v>48</v>
      </c>
      <c r="P38" s="14">
        <v>47</v>
      </c>
      <c r="Q38" s="2">
        <f t="shared" si="3"/>
        <v>192</v>
      </c>
      <c r="R38" s="22">
        <f t="shared" si="4"/>
        <v>48</v>
      </c>
    </row>
    <row r="39" spans="2:18" x14ac:dyDescent="0.35">
      <c r="B39" s="103"/>
      <c r="C39" s="8" t="s">
        <v>7</v>
      </c>
      <c r="D39" s="14">
        <v>29</v>
      </c>
      <c r="E39" s="15">
        <v>28</v>
      </c>
      <c r="F39" s="14">
        <v>29</v>
      </c>
      <c r="G39" s="15">
        <v>28</v>
      </c>
      <c r="H39" s="5">
        <f t="shared" si="1"/>
        <v>114</v>
      </c>
      <c r="I39" s="2">
        <f t="shared" si="2"/>
        <v>28.5</v>
      </c>
      <c r="K39" s="103"/>
      <c r="L39" s="18" t="s">
        <v>7</v>
      </c>
      <c r="M39" s="15">
        <v>53</v>
      </c>
      <c r="N39" s="14">
        <v>53</v>
      </c>
      <c r="O39" s="15">
        <v>54</v>
      </c>
      <c r="P39" s="14">
        <v>53</v>
      </c>
      <c r="Q39" s="2">
        <f t="shared" si="3"/>
        <v>213</v>
      </c>
      <c r="R39" s="22">
        <f t="shared" si="4"/>
        <v>53.25</v>
      </c>
    </row>
    <row r="40" spans="2:18" x14ac:dyDescent="0.35">
      <c r="B40" s="103"/>
      <c r="C40" s="8" t="s">
        <v>8</v>
      </c>
      <c r="D40" s="14">
        <v>31</v>
      </c>
      <c r="E40" s="15">
        <v>33</v>
      </c>
      <c r="F40" s="14">
        <v>32</v>
      </c>
      <c r="G40" s="15">
        <v>33</v>
      </c>
      <c r="H40" s="5">
        <f t="shared" si="1"/>
        <v>129</v>
      </c>
      <c r="I40" s="2">
        <f t="shared" si="2"/>
        <v>32.25</v>
      </c>
      <c r="K40" s="103"/>
      <c r="L40" s="18" t="s">
        <v>8</v>
      </c>
      <c r="M40" s="15">
        <v>56</v>
      </c>
      <c r="N40" s="14">
        <v>57</v>
      </c>
      <c r="O40" s="15">
        <v>56</v>
      </c>
      <c r="P40" s="14">
        <v>55</v>
      </c>
      <c r="Q40" s="2">
        <f t="shared" si="3"/>
        <v>224</v>
      </c>
      <c r="R40" s="22">
        <f t="shared" si="4"/>
        <v>56</v>
      </c>
    </row>
    <row r="41" spans="2:18" ht="15" thickBot="1" x14ac:dyDescent="0.4">
      <c r="B41" s="104"/>
      <c r="C41" s="9" t="s">
        <v>9</v>
      </c>
      <c r="D41" s="16">
        <v>34</v>
      </c>
      <c r="E41" s="17">
        <v>35</v>
      </c>
      <c r="F41" s="16">
        <v>35</v>
      </c>
      <c r="G41" s="17">
        <v>35</v>
      </c>
      <c r="H41" s="6">
        <f t="shared" si="1"/>
        <v>139</v>
      </c>
      <c r="I41" s="3">
        <f t="shared" si="2"/>
        <v>34.75</v>
      </c>
      <c r="K41" s="104"/>
      <c r="L41" s="20" t="s">
        <v>9</v>
      </c>
      <c r="M41" s="17">
        <v>59</v>
      </c>
      <c r="N41" s="16">
        <v>61</v>
      </c>
      <c r="O41" s="17">
        <v>61</v>
      </c>
      <c r="P41" s="16">
        <v>61</v>
      </c>
      <c r="Q41" s="3">
        <f t="shared" si="3"/>
        <v>242</v>
      </c>
      <c r="R41" s="23">
        <f t="shared" si="4"/>
        <v>60.5</v>
      </c>
    </row>
    <row r="42" spans="2:18" x14ac:dyDescent="0.35">
      <c r="B42" s="102">
        <v>14</v>
      </c>
      <c r="C42" s="7" t="s">
        <v>10</v>
      </c>
      <c r="D42" s="12">
        <v>25</v>
      </c>
      <c r="E42" s="13">
        <v>26</v>
      </c>
      <c r="F42" s="12">
        <v>25</v>
      </c>
      <c r="G42" s="13">
        <v>26</v>
      </c>
      <c r="H42" s="4">
        <f t="shared" si="1"/>
        <v>102</v>
      </c>
      <c r="I42" s="1">
        <f t="shared" si="2"/>
        <v>25.5</v>
      </c>
      <c r="K42" s="102">
        <v>14</v>
      </c>
      <c r="L42" s="19" t="s">
        <v>10</v>
      </c>
      <c r="M42" s="13">
        <v>45</v>
      </c>
      <c r="N42" s="12">
        <v>46</v>
      </c>
      <c r="O42" s="13">
        <v>45</v>
      </c>
      <c r="P42" s="12">
        <v>46</v>
      </c>
      <c r="Q42" s="1">
        <f t="shared" si="3"/>
        <v>182</v>
      </c>
      <c r="R42" s="21">
        <f t="shared" si="4"/>
        <v>45.5</v>
      </c>
    </row>
    <row r="43" spans="2:18" x14ac:dyDescent="0.35">
      <c r="B43" s="103"/>
      <c r="C43" s="8" t="s">
        <v>5</v>
      </c>
      <c r="D43" s="14">
        <v>28</v>
      </c>
      <c r="E43" s="15">
        <v>29</v>
      </c>
      <c r="F43" s="14">
        <v>28</v>
      </c>
      <c r="G43" s="15">
        <v>29</v>
      </c>
      <c r="H43" s="5">
        <f t="shared" si="1"/>
        <v>114</v>
      </c>
      <c r="I43" s="2">
        <f t="shared" si="2"/>
        <v>28.5</v>
      </c>
      <c r="K43" s="103"/>
      <c r="L43" s="18" t="s">
        <v>5</v>
      </c>
      <c r="M43" s="15">
        <v>51</v>
      </c>
      <c r="N43" s="14">
        <v>52</v>
      </c>
      <c r="O43" s="15">
        <v>51</v>
      </c>
      <c r="P43" s="14">
        <v>52</v>
      </c>
      <c r="Q43" s="2">
        <f t="shared" si="3"/>
        <v>206</v>
      </c>
      <c r="R43" s="22">
        <f t="shared" si="4"/>
        <v>51.5</v>
      </c>
    </row>
    <row r="44" spans="2:18" x14ac:dyDescent="0.35">
      <c r="B44" s="103"/>
      <c r="C44" s="8" t="s">
        <v>6</v>
      </c>
      <c r="D44" s="14">
        <v>33</v>
      </c>
      <c r="E44" s="15">
        <v>31</v>
      </c>
      <c r="F44" s="14">
        <v>33</v>
      </c>
      <c r="G44" s="15">
        <v>33</v>
      </c>
      <c r="H44" s="5">
        <f t="shared" si="1"/>
        <v>130</v>
      </c>
      <c r="I44" s="2">
        <f t="shared" si="2"/>
        <v>32.5</v>
      </c>
      <c r="K44" s="103"/>
      <c r="L44" s="18" t="s">
        <v>6</v>
      </c>
      <c r="M44" s="15">
        <v>56</v>
      </c>
      <c r="N44" s="14">
        <v>57</v>
      </c>
      <c r="O44" s="15">
        <v>56</v>
      </c>
      <c r="P44" s="14">
        <v>56</v>
      </c>
      <c r="Q44" s="2">
        <f t="shared" si="3"/>
        <v>225</v>
      </c>
      <c r="R44" s="22">
        <f t="shared" si="4"/>
        <v>56.25</v>
      </c>
    </row>
    <row r="45" spans="2:18" x14ac:dyDescent="0.35">
      <c r="B45" s="103"/>
      <c r="C45" s="8" t="s">
        <v>7</v>
      </c>
      <c r="D45" s="14">
        <v>35</v>
      </c>
      <c r="E45" s="15">
        <v>36</v>
      </c>
      <c r="F45" s="14">
        <v>35</v>
      </c>
      <c r="G45" s="15">
        <v>36</v>
      </c>
      <c r="H45" s="5">
        <f t="shared" si="1"/>
        <v>142</v>
      </c>
      <c r="I45" s="2">
        <f t="shared" si="2"/>
        <v>35.5</v>
      </c>
      <c r="K45" s="103"/>
      <c r="L45" s="18" t="s">
        <v>7</v>
      </c>
      <c r="M45" s="15">
        <v>64</v>
      </c>
      <c r="N45" s="14">
        <v>65</v>
      </c>
      <c r="O45" s="15">
        <v>64</v>
      </c>
      <c r="P45" s="14">
        <v>64</v>
      </c>
      <c r="Q45" s="2">
        <f t="shared" si="3"/>
        <v>257</v>
      </c>
      <c r="R45" s="22">
        <f t="shared" si="4"/>
        <v>64.25</v>
      </c>
    </row>
    <row r="46" spans="2:18" x14ac:dyDescent="0.35">
      <c r="B46" s="103"/>
      <c r="C46" s="8" t="s">
        <v>8</v>
      </c>
      <c r="D46" s="14">
        <v>37</v>
      </c>
      <c r="E46" s="15">
        <v>38</v>
      </c>
      <c r="F46" s="14">
        <v>37</v>
      </c>
      <c r="G46" s="15">
        <v>38</v>
      </c>
      <c r="H46" s="5">
        <f t="shared" si="1"/>
        <v>150</v>
      </c>
      <c r="I46" s="2">
        <f t="shared" si="2"/>
        <v>37.5</v>
      </c>
      <c r="K46" s="103"/>
      <c r="L46" s="18" t="s">
        <v>8</v>
      </c>
      <c r="M46" s="15">
        <v>66</v>
      </c>
      <c r="N46" s="14">
        <v>67</v>
      </c>
      <c r="O46" s="15">
        <v>67</v>
      </c>
      <c r="P46" s="14">
        <v>66</v>
      </c>
      <c r="Q46" s="2">
        <f t="shared" si="3"/>
        <v>266</v>
      </c>
      <c r="R46" s="22">
        <f t="shared" si="4"/>
        <v>66.5</v>
      </c>
    </row>
    <row r="47" spans="2:18" ht="15" thickBot="1" x14ac:dyDescent="0.4">
      <c r="B47" s="104"/>
      <c r="C47" s="9" t="s">
        <v>9</v>
      </c>
      <c r="D47" s="16">
        <v>40</v>
      </c>
      <c r="E47" s="17">
        <v>41</v>
      </c>
      <c r="F47" s="16">
        <v>40</v>
      </c>
      <c r="G47" s="17">
        <v>41</v>
      </c>
      <c r="H47" s="6">
        <f t="shared" si="1"/>
        <v>162</v>
      </c>
      <c r="I47" s="3">
        <f t="shared" si="2"/>
        <v>40.5</v>
      </c>
      <c r="K47" s="104"/>
      <c r="L47" s="20" t="s">
        <v>9</v>
      </c>
      <c r="M47" s="17">
        <v>73</v>
      </c>
      <c r="N47" s="16">
        <v>75</v>
      </c>
      <c r="O47" s="17">
        <v>75</v>
      </c>
      <c r="P47" s="16">
        <v>75</v>
      </c>
      <c r="Q47" s="3">
        <f t="shared" si="3"/>
        <v>298</v>
      </c>
      <c r="R47" s="23">
        <f t="shared" si="4"/>
        <v>74.5</v>
      </c>
    </row>
    <row r="48" spans="2:18" x14ac:dyDescent="0.35">
      <c r="B48" s="102">
        <v>16</v>
      </c>
      <c r="C48" s="7" t="s">
        <v>10</v>
      </c>
      <c r="D48" s="12">
        <v>29</v>
      </c>
      <c r="E48" s="13">
        <v>30</v>
      </c>
      <c r="F48" s="12">
        <v>30</v>
      </c>
      <c r="G48" s="13">
        <v>30</v>
      </c>
      <c r="H48" s="4">
        <f t="shared" si="1"/>
        <v>119</v>
      </c>
      <c r="I48" s="1">
        <f t="shared" si="2"/>
        <v>29.75</v>
      </c>
      <c r="K48" s="102">
        <v>16</v>
      </c>
      <c r="L48" s="19" t="s">
        <v>10</v>
      </c>
      <c r="M48" s="13">
        <v>56</v>
      </c>
      <c r="N48" s="12">
        <v>57</v>
      </c>
      <c r="O48" s="13">
        <v>57</v>
      </c>
      <c r="P48" s="12">
        <v>57</v>
      </c>
      <c r="Q48" s="1">
        <f t="shared" si="3"/>
        <v>227</v>
      </c>
      <c r="R48" s="21">
        <f t="shared" si="4"/>
        <v>56.75</v>
      </c>
    </row>
    <row r="49" spans="2:18" x14ac:dyDescent="0.35">
      <c r="B49" s="103"/>
      <c r="C49" s="8" t="s">
        <v>5</v>
      </c>
      <c r="D49" s="14">
        <v>35</v>
      </c>
      <c r="E49" s="15">
        <v>36</v>
      </c>
      <c r="F49" s="14">
        <v>35</v>
      </c>
      <c r="G49" s="15">
        <v>36</v>
      </c>
      <c r="H49" s="5">
        <f t="shared" si="1"/>
        <v>142</v>
      </c>
      <c r="I49" s="2">
        <f t="shared" si="2"/>
        <v>35.5</v>
      </c>
      <c r="K49" s="103"/>
      <c r="L49" s="18" t="s">
        <v>5</v>
      </c>
      <c r="M49" s="15">
        <v>65</v>
      </c>
      <c r="N49" s="14">
        <v>68</v>
      </c>
      <c r="O49" s="15">
        <v>68</v>
      </c>
      <c r="P49" s="14">
        <v>68</v>
      </c>
      <c r="Q49" s="2">
        <f t="shared" si="3"/>
        <v>269</v>
      </c>
      <c r="R49" s="22">
        <f t="shared" si="4"/>
        <v>67.25</v>
      </c>
    </row>
    <row r="50" spans="2:18" x14ac:dyDescent="0.35">
      <c r="B50" s="103"/>
      <c r="C50" s="8" t="s">
        <v>6</v>
      </c>
      <c r="D50" s="14">
        <v>38</v>
      </c>
      <c r="E50" s="15">
        <v>39</v>
      </c>
      <c r="F50" s="14">
        <v>38</v>
      </c>
      <c r="G50" s="15">
        <v>39</v>
      </c>
      <c r="H50" s="5">
        <f t="shared" si="1"/>
        <v>154</v>
      </c>
      <c r="I50" s="2">
        <f t="shared" si="2"/>
        <v>38.5</v>
      </c>
      <c r="K50" s="103"/>
      <c r="L50" s="18" t="s">
        <v>6</v>
      </c>
      <c r="M50" s="15">
        <v>78</v>
      </c>
      <c r="N50" s="14">
        <v>79</v>
      </c>
      <c r="O50" s="15">
        <v>78</v>
      </c>
      <c r="P50" s="14">
        <v>79</v>
      </c>
      <c r="Q50" s="2">
        <f t="shared" si="3"/>
        <v>314</v>
      </c>
      <c r="R50" s="22">
        <f t="shared" si="4"/>
        <v>78.5</v>
      </c>
    </row>
    <row r="51" spans="2:18" x14ac:dyDescent="0.35">
      <c r="B51" s="103"/>
      <c r="C51" s="8" t="s">
        <v>7</v>
      </c>
      <c r="D51" s="14">
        <v>41</v>
      </c>
      <c r="E51" s="15">
        <v>42</v>
      </c>
      <c r="F51" s="14">
        <v>41</v>
      </c>
      <c r="G51" s="15">
        <v>42</v>
      </c>
      <c r="H51" s="5">
        <f t="shared" si="1"/>
        <v>166</v>
      </c>
      <c r="I51" s="2">
        <f t="shared" si="2"/>
        <v>41.5</v>
      </c>
      <c r="K51" s="103"/>
      <c r="L51" s="18" t="s">
        <v>7</v>
      </c>
      <c r="M51" s="15">
        <v>80</v>
      </c>
      <c r="N51" s="14">
        <v>81</v>
      </c>
      <c r="O51" s="15">
        <v>81</v>
      </c>
      <c r="P51" s="14">
        <v>81</v>
      </c>
      <c r="Q51" s="2">
        <f t="shared" si="3"/>
        <v>323</v>
      </c>
      <c r="R51" s="22">
        <f t="shared" si="4"/>
        <v>80.75</v>
      </c>
    </row>
    <row r="52" spans="2:18" x14ac:dyDescent="0.35">
      <c r="B52" s="103"/>
      <c r="C52" s="8" t="s">
        <v>8</v>
      </c>
      <c r="D52" s="14">
        <v>43</v>
      </c>
      <c r="E52" s="15">
        <v>45</v>
      </c>
      <c r="F52" s="14">
        <v>44</v>
      </c>
      <c r="G52" s="15">
        <v>45</v>
      </c>
      <c r="H52" s="5">
        <f t="shared" si="1"/>
        <v>177</v>
      </c>
      <c r="I52" s="2">
        <f t="shared" si="2"/>
        <v>44.25</v>
      </c>
      <c r="K52" s="103"/>
      <c r="L52" s="18" t="s">
        <v>8</v>
      </c>
      <c r="M52" s="15">
        <v>89</v>
      </c>
      <c r="N52" s="14">
        <v>93</v>
      </c>
      <c r="O52" s="15">
        <v>95</v>
      </c>
      <c r="P52" s="14">
        <v>98</v>
      </c>
      <c r="Q52" s="2">
        <f t="shared" si="3"/>
        <v>375</v>
      </c>
      <c r="R52" s="22">
        <f t="shared" si="4"/>
        <v>93.75</v>
      </c>
    </row>
    <row r="53" spans="2:18" ht="15" thickBot="1" x14ac:dyDescent="0.4">
      <c r="B53" s="104"/>
      <c r="C53" s="9" t="s">
        <v>9</v>
      </c>
      <c r="D53" s="16">
        <v>47</v>
      </c>
      <c r="E53" s="17">
        <v>49</v>
      </c>
      <c r="F53" s="16">
        <v>48</v>
      </c>
      <c r="G53" s="17">
        <v>49</v>
      </c>
      <c r="H53" s="6">
        <f t="shared" si="1"/>
        <v>193</v>
      </c>
      <c r="I53" s="3">
        <f t="shared" si="2"/>
        <v>48.25</v>
      </c>
      <c r="K53" s="104"/>
      <c r="L53" s="20" t="s">
        <v>9</v>
      </c>
      <c r="M53" s="17">
        <v>105</v>
      </c>
      <c r="N53" s="16">
        <v>109</v>
      </c>
      <c r="O53" s="17">
        <v>112</v>
      </c>
      <c r="P53" s="16">
        <v>115</v>
      </c>
      <c r="Q53" s="3">
        <f t="shared" si="3"/>
        <v>441</v>
      </c>
      <c r="R53" s="23">
        <f t="shared" si="4"/>
        <v>110.25</v>
      </c>
    </row>
  </sheetData>
  <mergeCells count="34">
    <mergeCell ref="Y4:Y5"/>
    <mergeCell ref="Z4:Z5"/>
    <mergeCell ref="U13:X13"/>
    <mergeCell ref="T13:T14"/>
    <mergeCell ref="Y13:Y14"/>
    <mergeCell ref="Z13:Z14"/>
    <mergeCell ref="U4:X4"/>
    <mergeCell ref="K30:K35"/>
    <mergeCell ref="K36:K41"/>
    <mergeCell ref="K42:K47"/>
    <mergeCell ref="K48:K53"/>
    <mergeCell ref="T4:T5"/>
    <mergeCell ref="R4:R5"/>
    <mergeCell ref="B48:B53"/>
    <mergeCell ref="K4:K5"/>
    <mergeCell ref="L4:L5"/>
    <mergeCell ref="M4:P4"/>
    <mergeCell ref="Q4:Q5"/>
    <mergeCell ref="K6:K11"/>
    <mergeCell ref="K12:K17"/>
    <mergeCell ref="K18:K23"/>
    <mergeCell ref="K24:K29"/>
    <mergeCell ref="B12:B17"/>
    <mergeCell ref="B18:B23"/>
    <mergeCell ref="B24:B29"/>
    <mergeCell ref="B30:B35"/>
    <mergeCell ref="B36:B41"/>
    <mergeCell ref="B42:B47"/>
    <mergeCell ref="D4:G4"/>
    <mergeCell ref="B4:B5"/>
    <mergeCell ref="C4:C5"/>
    <mergeCell ref="H4:H5"/>
    <mergeCell ref="I4:I5"/>
    <mergeCell ref="B6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F365-26A6-49D7-BB8A-27A42AF8C538}">
  <dimension ref="A1:Q17"/>
  <sheetViews>
    <sheetView workbookViewId="0">
      <selection activeCell="H14" sqref="H14:H15"/>
    </sheetView>
  </sheetViews>
  <sheetFormatPr defaultRowHeight="14.5" x14ac:dyDescent="0.35"/>
  <cols>
    <col min="8" max="8" width="15.1796875" bestFit="1" customWidth="1"/>
  </cols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5</v>
      </c>
      <c r="C3" s="13">
        <v>6</v>
      </c>
      <c r="D3" s="12">
        <v>5</v>
      </c>
      <c r="E3" s="13">
        <v>5</v>
      </c>
      <c r="F3" s="4">
        <f>SUM(B3:E3)</f>
        <v>21</v>
      </c>
      <c r="G3" s="1">
        <f>AVERAGE(B3:E3)</f>
        <v>5.25</v>
      </c>
      <c r="J3" s="66" t="s">
        <v>42</v>
      </c>
      <c r="K3" s="89">
        <f>F9^2/J13</f>
        <v>1247.0416666666667</v>
      </c>
    </row>
    <row r="4" spans="1:17" ht="15.5" x14ac:dyDescent="0.35">
      <c r="A4" s="8" t="s">
        <v>5</v>
      </c>
      <c r="B4" s="14">
        <v>7</v>
      </c>
      <c r="C4" s="15">
        <v>7</v>
      </c>
      <c r="D4" s="14">
        <v>6</v>
      </c>
      <c r="E4" s="15">
        <v>6</v>
      </c>
      <c r="F4" s="5">
        <f t="shared" ref="F4:F8" si="0">SUM(B4:E4)</f>
        <v>26</v>
      </c>
      <c r="G4" s="2">
        <f t="shared" ref="G4:G8" si="1">AVERAGE(B4:E4)</f>
        <v>6.5</v>
      </c>
      <c r="J4" s="90" t="s">
        <v>84</v>
      </c>
      <c r="K4" s="76">
        <f>SUMSQ(F3:F8)/J12-K3</f>
        <v>33.208333333333258</v>
      </c>
      <c r="N4" s="91" t="s">
        <v>85</v>
      </c>
      <c r="O4" s="92">
        <f>G3</f>
        <v>5.25</v>
      </c>
      <c r="P4" s="76">
        <f>O4+J15</f>
        <v>5.7424005821821629</v>
      </c>
      <c r="Q4" t="s">
        <v>49</v>
      </c>
    </row>
    <row r="5" spans="1:17" ht="15.5" x14ac:dyDescent="0.35">
      <c r="A5" s="8" t="s">
        <v>6</v>
      </c>
      <c r="B5" s="14">
        <v>7</v>
      </c>
      <c r="C5" s="15">
        <v>7</v>
      </c>
      <c r="D5" s="14">
        <v>7</v>
      </c>
      <c r="E5" s="15">
        <v>7</v>
      </c>
      <c r="F5" s="5">
        <f t="shared" si="0"/>
        <v>28</v>
      </c>
      <c r="G5" s="2">
        <f t="shared" si="1"/>
        <v>7</v>
      </c>
      <c r="J5" s="66" t="s">
        <v>86</v>
      </c>
      <c r="K5" s="93">
        <f>SUMSQ(B3:E8)-K3</f>
        <v>35.958333333333258</v>
      </c>
      <c r="N5" s="91" t="s">
        <v>87</v>
      </c>
      <c r="O5" s="92">
        <f t="shared" ref="O5:O9" si="2">G4</f>
        <v>6.5</v>
      </c>
      <c r="P5" s="76">
        <f>O5+J15</f>
        <v>6.9924005821821629</v>
      </c>
      <c r="Q5" t="s">
        <v>62</v>
      </c>
    </row>
    <row r="6" spans="1:17" ht="15.5" x14ac:dyDescent="0.35">
      <c r="A6" s="8" t="s">
        <v>7</v>
      </c>
      <c r="B6" s="14">
        <v>8</v>
      </c>
      <c r="C6" s="15">
        <v>8</v>
      </c>
      <c r="D6" s="14">
        <v>7</v>
      </c>
      <c r="E6" s="15">
        <v>7</v>
      </c>
      <c r="F6" s="5">
        <f t="shared" si="0"/>
        <v>30</v>
      </c>
      <c r="G6" s="2">
        <f t="shared" si="1"/>
        <v>7.5</v>
      </c>
      <c r="J6" s="66" t="s">
        <v>88</v>
      </c>
      <c r="K6" s="93">
        <f>SUMSQ(B9:E9)/J11-K3</f>
        <v>1.125</v>
      </c>
      <c r="N6" s="91" t="s">
        <v>89</v>
      </c>
      <c r="O6" s="92">
        <f t="shared" si="2"/>
        <v>7</v>
      </c>
      <c r="P6" s="76">
        <f>O6+J15</f>
        <v>7.4924005821821629</v>
      </c>
      <c r="Q6" s="62" t="s">
        <v>64</v>
      </c>
    </row>
    <row r="7" spans="1:17" ht="15.5" x14ac:dyDescent="0.35">
      <c r="A7" s="8" t="s">
        <v>8</v>
      </c>
      <c r="B7" s="14">
        <v>8</v>
      </c>
      <c r="C7" s="15">
        <v>8</v>
      </c>
      <c r="D7" s="14">
        <v>8</v>
      </c>
      <c r="E7" s="15">
        <v>8</v>
      </c>
      <c r="F7" s="5">
        <f t="shared" si="0"/>
        <v>32</v>
      </c>
      <c r="G7" s="2">
        <f t="shared" si="1"/>
        <v>8</v>
      </c>
      <c r="J7" s="66" t="s">
        <v>43</v>
      </c>
      <c r="K7" s="94">
        <f>SQRT(D16)/G9*100</f>
        <v>0.98999865731523151</v>
      </c>
      <c r="N7" s="91" t="s">
        <v>90</v>
      </c>
      <c r="O7" s="92">
        <f t="shared" si="2"/>
        <v>7.5</v>
      </c>
      <c r="P7" s="76">
        <f>O7+J15</f>
        <v>7.9924005821821629</v>
      </c>
      <c r="Q7" s="62" t="s">
        <v>65</v>
      </c>
    </row>
    <row r="8" spans="1:17" ht="16" thickBot="1" x14ac:dyDescent="0.4">
      <c r="A8" s="9" t="s">
        <v>9</v>
      </c>
      <c r="B8" s="16">
        <v>9</v>
      </c>
      <c r="C8" s="17">
        <v>9</v>
      </c>
      <c r="D8" s="16">
        <v>9</v>
      </c>
      <c r="E8" s="17">
        <v>9</v>
      </c>
      <c r="F8" s="6">
        <f t="shared" si="0"/>
        <v>36</v>
      </c>
      <c r="G8" s="3">
        <f t="shared" si="1"/>
        <v>9</v>
      </c>
      <c r="J8" s="66"/>
      <c r="K8" s="94"/>
      <c r="N8" s="91" t="s">
        <v>91</v>
      </c>
      <c r="O8" s="92">
        <f t="shared" si="2"/>
        <v>8</v>
      </c>
      <c r="P8" s="76">
        <f>O8+J15</f>
        <v>8.4924005821821638</v>
      </c>
      <c r="Q8" t="s">
        <v>70</v>
      </c>
    </row>
    <row r="9" spans="1:17" ht="15.5" x14ac:dyDescent="0.35">
      <c r="A9" s="88" t="s">
        <v>13</v>
      </c>
      <c r="B9">
        <f>SUM(B3:B8)</f>
        <v>44</v>
      </c>
      <c r="C9">
        <f t="shared" ref="C9:G9" si="3">SUM(C3:C8)</f>
        <v>45</v>
      </c>
      <c r="D9">
        <f t="shared" si="3"/>
        <v>42</v>
      </c>
      <c r="E9">
        <f t="shared" si="3"/>
        <v>42</v>
      </c>
      <c r="F9">
        <f t="shared" si="3"/>
        <v>173</v>
      </c>
      <c r="G9">
        <f t="shared" si="3"/>
        <v>43.25</v>
      </c>
      <c r="J9" s="66"/>
      <c r="K9" s="95"/>
      <c r="N9" s="91" t="s">
        <v>92</v>
      </c>
      <c r="O9" s="92">
        <f t="shared" si="2"/>
        <v>9</v>
      </c>
      <c r="P9" s="76">
        <f>O9+J15</f>
        <v>9.4924005821821638</v>
      </c>
      <c r="Q9" t="s">
        <v>71</v>
      </c>
    </row>
    <row r="10" spans="1:17" ht="15.5" x14ac:dyDescent="0.35">
      <c r="A10" s="63"/>
      <c r="B10" s="63"/>
      <c r="C10" s="63"/>
      <c r="D10" s="63"/>
      <c r="E10" s="64"/>
      <c r="F10" s="64"/>
      <c r="G10" s="64"/>
      <c r="H10" s="64"/>
      <c r="I10" s="65"/>
      <c r="J10" s="65"/>
      <c r="K10" s="66"/>
    </row>
    <row r="11" spans="1:17" ht="15.5" x14ac:dyDescent="0.35">
      <c r="A11" s="63"/>
      <c r="B11" s="63"/>
      <c r="C11" s="63"/>
      <c r="D11" s="63"/>
      <c r="E11" s="64"/>
      <c r="F11" s="65"/>
      <c r="G11" s="65"/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1.125</v>
      </c>
      <c r="D14" s="76">
        <f>C14/B14</f>
        <v>0.375</v>
      </c>
      <c r="E14" s="76">
        <f>D14/D16</f>
        <v>2.0454545454545454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33.208333333333258</v>
      </c>
      <c r="D15" s="76">
        <f>C15/B15</f>
        <v>6.6416666666666515</v>
      </c>
      <c r="E15" s="76">
        <f>D15/D16</f>
        <v>36.227272727272648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0.4924005821821632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2.75</v>
      </c>
      <c r="D16" s="83">
        <f>C16/B16</f>
        <v>0.18333333333333332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35.958333333333258</v>
      </c>
      <c r="D17" s="83"/>
      <c r="E17" s="85"/>
      <c r="F17" s="86"/>
      <c r="G17" s="87"/>
      <c r="I17" s="79" t="s">
        <v>83</v>
      </c>
      <c r="J17" s="80">
        <f>SQRT(D16)/4</f>
        <v>0.1070436048222094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C0B1-F2C4-4044-9393-571857E2E8EF}">
  <dimension ref="A1:Q17"/>
  <sheetViews>
    <sheetView topLeftCell="A5"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7</v>
      </c>
      <c r="C3" s="13">
        <v>7</v>
      </c>
      <c r="D3" s="12">
        <v>6</v>
      </c>
      <c r="E3" s="13">
        <v>7</v>
      </c>
      <c r="F3" s="4">
        <f t="shared" ref="F3:F8" si="0">SUM(B3:E3)</f>
        <v>27</v>
      </c>
      <c r="G3" s="1">
        <f t="shared" ref="G3:G8" si="1">AVERAGE(B3:E3)</f>
        <v>6.75</v>
      </c>
      <c r="J3" s="66" t="s">
        <v>42</v>
      </c>
      <c r="K3" s="89">
        <f>F9^2/J13</f>
        <v>2501.0416666666665</v>
      </c>
    </row>
    <row r="4" spans="1:17" ht="15.5" x14ac:dyDescent="0.35">
      <c r="A4" s="8" t="s">
        <v>5</v>
      </c>
      <c r="B4" s="14">
        <v>9</v>
      </c>
      <c r="C4" s="15">
        <v>8</v>
      </c>
      <c r="D4" s="14">
        <v>8</v>
      </c>
      <c r="E4" s="15">
        <v>9</v>
      </c>
      <c r="F4" s="5">
        <f t="shared" si="0"/>
        <v>34</v>
      </c>
      <c r="G4" s="2">
        <f t="shared" si="1"/>
        <v>8.5</v>
      </c>
      <c r="J4" s="90" t="s">
        <v>84</v>
      </c>
      <c r="K4" s="76">
        <f>SUMSQ(F3:F8)/J12-K3</f>
        <v>106.20833333333348</v>
      </c>
      <c r="N4" s="91" t="s">
        <v>85</v>
      </c>
      <c r="O4" s="92">
        <f>G3</f>
        <v>6.75</v>
      </c>
      <c r="P4" s="76">
        <f>O4+J15</f>
        <v>7.1427997793617841</v>
      </c>
      <c r="Q4" t="s">
        <v>49</v>
      </c>
    </row>
    <row r="5" spans="1:17" ht="15.5" x14ac:dyDescent="0.35">
      <c r="A5" s="8" t="s">
        <v>6</v>
      </c>
      <c r="B5" s="14">
        <v>10</v>
      </c>
      <c r="C5" s="15">
        <v>10</v>
      </c>
      <c r="D5" s="14">
        <v>10</v>
      </c>
      <c r="E5" s="15">
        <v>10</v>
      </c>
      <c r="F5" s="5">
        <f t="shared" si="0"/>
        <v>40</v>
      </c>
      <c r="G5" s="2">
        <f t="shared" si="1"/>
        <v>10</v>
      </c>
      <c r="J5" s="66" t="s">
        <v>86</v>
      </c>
      <c r="K5" s="93">
        <f>SUMSQ(B3:E8)-K3</f>
        <v>107.95833333333348</v>
      </c>
      <c r="N5" s="91" t="s">
        <v>87</v>
      </c>
      <c r="O5" s="92">
        <f t="shared" ref="O5:O9" si="2">G4</f>
        <v>8.5</v>
      </c>
      <c r="P5" s="76">
        <f>O5+J15</f>
        <v>8.8927997793617841</v>
      </c>
      <c r="Q5" t="s">
        <v>62</v>
      </c>
    </row>
    <row r="6" spans="1:17" ht="15.5" x14ac:dyDescent="0.35">
      <c r="A6" s="8" t="s">
        <v>7</v>
      </c>
      <c r="B6" s="14">
        <v>11</v>
      </c>
      <c r="C6" s="15">
        <v>11</v>
      </c>
      <c r="D6" s="14">
        <v>11</v>
      </c>
      <c r="E6" s="15">
        <v>11</v>
      </c>
      <c r="F6" s="5">
        <f t="shared" si="0"/>
        <v>44</v>
      </c>
      <c r="G6" s="2">
        <f t="shared" si="1"/>
        <v>11</v>
      </c>
      <c r="J6" s="66" t="s">
        <v>88</v>
      </c>
      <c r="K6" s="93">
        <f>SUMSQ(B9:E9)/J11-K3</f>
        <v>0.45833333333348492</v>
      </c>
      <c r="N6" s="91" t="s">
        <v>89</v>
      </c>
      <c r="O6" s="92">
        <f t="shared" si="2"/>
        <v>10</v>
      </c>
      <c r="P6" s="76">
        <f>O6+J15</f>
        <v>10.392799779361784</v>
      </c>
      <c r="Q6" s="62" t="s">
        <v>64</v>
      </c>
    </row>
    <row r="7" spans="1:17" ht="15.5" x14ac:dyDescent="0.35">
      <c r="A7" s="8" t="s">
        <v>8</v>
      </c>
      <c r="B7" s="14">
        <v>12</v>
      </c>
      <c r="C7" s="15">
        <v>12</v>
      </c>
      <c r="D7" s="14">
        <v>12</v>
      </c>
      <c r="E7" s="15">
        <v>12</v>
      </c>
      <c r="F7" s="5">
        <f t="shared" si="0"/>
        <v>48</v>
      </c>
      <c r="G7" s="2">
        <f t="shared" si="1"/>
        <v>12</v>
      </c>
      <c r="J7" s="66" t="s">
        <v>43</v>
      </c>
      <c r="K7" s="94">
        <f>SQRT(D16)/G9*100</f>
        <v>0.55765718454201896</v>
      </c>
      <c r="N7" s="91" t="s">
        <v>90</v>
      </c>
      <c r="O7" s="92">
        <f t="shared" si="2"/>
        <v>11</v>
      </c>
      <c r="P7" s="76">
        <f>O7+J15</f>
        <v>11.392799779361784</v>
      </c>
      <c r="Q7" s="62" t="s">
        <v>65</v>
      </c>
    </row>
    <row r="8" spans="1:17" ht="16" thickBot="1" x14ac:dyDescent="0.4">
      <c r="A8" s="9" t="s">
        <v>9</v>
      </c>
      <c r="B8" s="16">
        <v>13</v>
      </c>
      <c r="C8" s="17">
        <v>13</v>
      </c>
      <c r="D8" s="16">
        <v>13</v>
      </c>
      <c r="E8" s="17">
        <v>13</v>
      </c>
      <c r="F8" s="6">
        <f t="shared" si="0"/>
        <v>52</v>
      </c>
      <c r="G8" s="3">
        <f t="shared" si="1"/>
        <v>13</v>
      </c>
      <c r="J8" s="66"/>
      <c r="K8" s="94"/>
      <c r="N8" s="91" t="s">
        <v>91</v>
      </c>
      <c r="O8" s="92">
        <f t="shared" si="2"/>
        <v>12</v>
      </c>
      <c r="P8" s="76">
        <f>O8+J15</f>
        <v>12.392799779361784</v>
      </c>
      <c r="Q8" t="s">
        <v>70</v>
      </c>
    </row>
    <row r="9" spans="1:17" ht="15.5" x14ac:dyDescent="0.35">
      <c r="A9" s="88" t="s">
        <v>13</v>
      </c>
      <c r="B9">
        <f>SUM(B3:B8)</f>
        <v>62</v>
      </c>
      <c r="C9">
        <f t="shared" ref="C9:G9" si="3">SUM(C3:C8)</f>
        <v>61</v>
      </c>
      <c r="D9">
        <f t="shared" si="3"/>
        <v>60</v>
      </c>
      <c r="E9">
        <f t="shared" si="3"/>
        <v>62</v>
      </c>
      <c r="F9">
        <f t="shared" si="3"/>
        <v>245</v>
      </c>
      <c r="G9">
        <f t="shared" si="3"/>
        <v>61.25</v>
      </c>
      <c r="J9" s="66"/>
      <c r="K9" s="95"/>
      <c r="N9" s="91" t="s">
        <v>92</v>
      </c>
      <c r="O9" s="92">
        <f t="shared" si="2"/>
        <v>13</v>
      </c>
      <c r="P9" s="76">
        <f>O9+J15</f>
        <v>13.392799779361784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0.45833333333348492</v>
      </c>
      <c r="D14" s="76">
        <f>C14/B14</f>
        <v>0.15277777777782831</v>
      </c>
      <c r="E14" s="76">
        <f>D14/D16</f>
        <v>1.3095238095242425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106.20833333333348</v>
      </c>
      <c r="D15" s="76">
        <f>C15/B15</f>
        <v>21.241666666666696</v>
      </c>
      <c r="E15" s="76">
        <f>D15/D16</f>
        <v>182.07142857142881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0.39279977936178456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1.75</v>
      </c>
      <c r="D16" s="83">
        <f>C16/B16</f>
        <v>0.11666666666666667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107.95833333333348</v>
      </c>
      <c r="D17" s="83"/>
      <c r="E17" s="85"/>
      <c r="F17" s="86"/>
      <c r="G17" s="87"/>
      <c r="I17" s="79" t="s">
        <v>83</v>
      </c>
      <c r="J17" s="80">
        <f>SQRT(D16)/4</f>
        <v>8.5391256382996647E-2</v>
      </c>
      <c r="L17" s="68"/>
      <c r="M17" s="69"/>
      <c r="N17" s="69"/>
      <c r="O17" s="69"/>
      <c r="P17" s="69"/>
    </row>
  </sheetData>
  <mergeCells count="10">
    <mergeCell ref="F12:G12"/>
    <mergeCell ref="A1:A2"/>
    <mergeCell ref="B1:E1"/>
    <mergeCell ref="F1:F2"/>
    <mergeCell ref="G1:G2"/>
    <mergeCell ref="A12:A13"/>
    <mergeCell ref="B12:B13"/>
    <mergeCell ref="C12:C13"/>
    <mergeCell ref="D12:D13"/>
    <mergeCell ref="E12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F3FE-0063-433B-AC08-1905A9A2CE9B}">
  <dimension ref="A1:Q17"/>
  <sheetViews>
    <sheetView topLeftCell="A6"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10</v>
      </c>
      <c r="C3" s="13">
        <v>11</v>
      </c>
      <c r="D3" s="12">
        <v>10</v>
      </c>
      <c r="E3" s="13">
        <v>10</v>
      </c>
      <c r="F3" s="4">
        <f t="shared" ref="F3:F8" si="0">SUM(B3:E3)</f>
        <v>41</v>
      </c>
      <c r="G3" s="1">
        <f t="shared" ref="G3:G8" si="1">AVERAGE(B3:E3)</f>
        <v>10.25</v>
      </c>
      <c r="J3" s="66" t="s">
        <v>42</v>
      </c>
      <c r="K3" s="89">
        <f>F9^2/J13</f>
        <v>4930.666666666667</v>
      </c>
    </row>
    <row r="4" spans="1:17" ht="15.5" x14ac:dyDescent="0.35">
      <c r="A4" s="8" t="s">
        <v>5</v>
      </c>
      <c r="B4" s="14">
        <v>11</v>
      </c>
      <c r="C4" s="15">
        <v>12</v>
      </c>
      <c r="D4" s="14">
        <v>12</v>
      </c>
      <c r="E4" s="15">
        <v>12</v>
      </c>
      <c r="F4" s="5">
        <f t="shared" si="0"/>
        <v>47</v>
      </c>
      <c r="G4" s="2">
        <f t="shared" si="1"/>
        <v>11.75</v>
      </c>
      <c r="J4" s="90" t="s">
        <v>84</v>
      </c>
      <c r="K4" s="76">
        <f>SUMSQ(F3:F8)/J12-K3</f>
        <v>183.83333333333303</v>
      </c>
      <c r="N4" s="91" t="s">
        <v>85</v>
      </c>
      <c r="O4" s="92">
        <f>G3</f>
        <v>10.25</v>
      </c>
      <c r="P4" s="76">
        <f>O4+J15</f>
        <v>10.805502775270595</v>
      </c>
      <c r="Q4" t="s">
        <v>49</v>
      </c>
    </row>
    <row r="5" spans="1:17" ht="15.5" x14ac:dyDescent="0.35">
      <c r="A5" s="8" t="s">
        <v>6</v>
      </c>
      <c r="B5" s="14">
        <v>13</v>
      </c>
      <c r="C5" s="15">
        <v>14</v>
      </c>
      <c r="D5" s="14">
        <v>13</v>
      </c>
      <c r="E5" s="15">
        <v>14</v>
      </c>
      <c r="F5" s="5">
        <f t="shared" si="0"/>
        <v>54</v>
      </c>
      <c r="G5" s="2">
        <f t="shared" si="1"/>
        <v>13.5</v>
      </c>
      <c r="J5" s="66" t="s">
        <v>86</v>
      </c>
      <c r="K5" s="93">
        <f>SUMSQ(B3:E8)-K3</f>
        <v>187.33333333333303</v>
      </c>
      <c r="N5" s="91" t="s">
        <v>87</v>
      </c>
      <c r="O5" s="92">
        <f t="shared" ref="O5:O9" si="2">G4</f>
        <v>11.75</v>
      </c>
      <c r="P5" s="76">
        <f>O5+J15</f>
        <v>12.305502775270595</v>
      </c>
      <c r="Q5" t="s">
        <v>62</v>
      </c>
    </row>
    <row r="6" spans="1:17" ht="15.5" x14ac:dyDescent="0.35">
      <c r="A6" s="8" t="s">
        <v>7</v>
      </c>
      <c r="B6" s="14">
        <v>15</v>
      </c>
      <c r="C6" s="15">
        <v>16</v>
      </c>
      <c r="D6" s="14">
        <v>15</v>
      </c>
      <c r="E6" s="15">
        <v>16</v>
      </c>
      <c r="F6" s="5">
        <f t="shared" si="0"/>
        <v>62</v>
      </c>
      <c r="G6" s="2">
        <f t="shared" si="1"/>
        <v>15.5</v>
      </c>
      <c r="J6" s="66" t="s">
        <v>88</v>
      </c>
      <c r="K6" s="93">
        <f>SUMSQ(B9:E9)/J11-K3</f>
        <v>1.6666666666660603</v>
      </c>
      <c r="N6" s="91" t="s">
        <v>89</v>
      </c>
      <c r="O6" s="92">
        <f t="shared" si="2"/>
        <v>13.5</v>
      </c>
      <c r="P6" s="76">
        <f>O6+J15</f>
        <v>14.055502775270595</v>
      </c>
      <c r="Q6" s="62" t="s">
        <v>64</v>
      </c>
    </row>
    <row r="7" spans="1:17" ht="15.5" x14ac:dyDescent="0.35">
      <c r="A7" s="8" t="s">
        <v>8</v>
      </c>
      <c r="B7" s="14">
        <v>17</v>
      </c>
      <c r="C7" s="15">
        <v>17</v>
      </c>
      <c r="D7" s="14">
        <v>17</v>
      </c>
      <c r="E7" s="15">
        <v>17</v>
      </c>
      <c r="F7" s="5">
        <f t="shared" si="0"/>
        <v>68</v>
      </c>
      <c r="G7" s="2">
        <f t="shared" si="1"/>
        <v>17</v>
      </c>
      <c r="J7" s="66" t="s">
        <v>43</v>
      </c>
      <c r="K7" s="94">
        <f>SQRT(D16)/G9*100</f>
        <v>0.56168126923214878</v>
      </c>
      <c r="N7" s="91" t="s">
        <v>90</v>
      </c>
      <c r="O7" s="92">
        <f t="shared" si="2"/>
        <v>15.5</v>
      </c>
      <c r="P7" s="76">
        <f>O7+J15</f>
        <v>16.055502775270597</v>
      </c>
      <c r="Q7" s="62" t="s">
        <v>65</v>
      </c>
    </row>
    <row r="8" spans="1:17" ht="16" thickBot="1" x14ac:dyDescent="0.4">
      <c r="A8" s="9" t="s">
        <v>9</v>
      </c>
      <c r="B8" s="16">
        <v>18</v>
      </c>
      <c r="C8" s="17">
        <v>18</v>
      </c>
      <c r="D8" s="16">
        <v>18</v>
      </c>
      <c r="E8" s="17">
        <v>18</v>
      </c>
      <c r="F8" s="6">
        <f t="shared" si="0"/>
        <v>72</v>
      </c>
      <c r="G8" s="3">
        <f t="shared" si="1"/>
        <v>18</v>
      </c>
      <c r="J8" s="66"/>
      <c r="K8" s="94"/>
      <c r="N8" s="91" t="s">
        <v>91</v>
      </c>
      <c r="O8" s="92">
        <f t="shared" si="2"/>
        <v>17</v>
      </c>
      <c r="P8" s="76">
        <f>O8+J15</f>
        <v>17.555502775270597</v>
      </c>
      <c r="Q8" t="s">
        <v>70</v>
      </c>
    </row>
    <row r="9" spans="1:17" ht="15.5" x14ac:dyDescent="0.35">
      <c r="A9" s="88" t="s">
        <v>13</v>
      </c>
      <c r="B9">
        <f>SUM(B3:B8)</f>
        <v>84</v>
      </c>
      <c r="C9">
        <f t="shared" ref="C9:G9" si="3">SUM(C3:C8)</f>
        <v>88</v>
      </c>
      <c r="D9">
        <f t="shared" si="3"/>
        <v>85</v>
      </c>
      <c r="E9">
        <f t="shared" si="3"/>
        <v>87</v>
      </c>
      <c r="F9">
        <f t="shared" si="3"/>
        <v>344</v>
      </c>
      <c r="G9">
        <f t="shared" si="3"/>
        <v>86</v>
      </c>
      <c r="J9" s="66"/>
      <c r="K9" s="95"/>
      <c r="N9" s="91" t="s">
        <v>92</v>
      </c>
      <c r="O9" s="92">
        <f t="shared" si="2"/>
        <v>18</v>
      </c>
      <c r="P9" s="76">
        <f>O9+J15</f>
        <v>18.555502775270597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1.6666666666660603</v>
      </c>
      <c r="D14" s="76">
        <f>C14/B14</f>
        <v>0.55555555555535341</v>
      </c>
      <c r="E14" s="76">
        <f>D14/D16</f>
        <v>2.3809523809515145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183.83333333333303</v>
      </c>
      <c r="D15" s="76">
        <f>C15/B15</f>
        <v>36.766666666666609</v>
      </c>
      <c r="E15" s="76">
        <f>D15/D16</f>
        <v>157.57142857142833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0.55550277527059511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3.5</v>
      </c>
      <c r="D16" s="83">
        <f>C16/B16</f>
        <v>0.23333333333333334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187.33333333333303</v>
      </c>
      <c r="D17" s="83"/>
      <c r="E17" s="85"/>
      <c r="F17" s="86"/>
      <c r="G17" s="87"/>
      <c r="I17" s="79" t="s">
        <v>83</v>
      </c>
      <c r="J17" s="80">
        <f>SQRT(D16)/4</f>
        <v>0.12076147288491199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3A85-E790-486D-A7FD-A29DD1019C11}">
  <dimension ref="A1:Q18"/>
  <sheetViews>
    <sheetView workbookViewId="0">
      <selection activeCell="R13" sqref="R13"/>
    </sheetView>
  </sheetViews>
  <sheetFormatPr defaultRowHeight="14.5" x14ac:dyDescent="0.35"/>
  <cols>
    <col min="8" max="8" width="9.54296875" bestFit="1" customWidth="1"/>
  </cols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13</v>
      </c>
      <c r="C3" s="13">
        <v>13</v>
      </c>
      <c r="D3" s="12">
        <v>12</v>
      </c>
      <c r="E3" s="13">
        <v>13</v>
      </c>
      <c r="F3" s="4">
        <f t="shared" ref="F3:F8" si="0">SUM(B3:E3)</f>
        <v>51</v>
      </c>
      <c r="G3" s="1">
        <f>AVERAGE(B3:E3)</f>
        <v>12.75</v>
      </c>
      <c r="J3" s="66" t="s">
        <v>42</v>
      </c>
      <c r="K3" s="89">
        <f>F9^2/J13</f>
        <v>7993.5</v>
      </c>
    </row>
    <row r="4" spans="1:17" ht="15.5" x14ac:dyDescent="0.35">
      <c r="A4" s="8" t="s">
        <v>5</v>
      </c>
      <c r="B4" s="14">
        <v>14</v>
      </c>
      <c r="C4" s="15">
        <v>15</v>
      </c>
      <c r="D4" s="14">
        <v>15</v>
      </c>
      <c r="E4" s="15">
        <v>15</v>
      </c>
      <c r="F4" s="5">
        <f t="shared" si="0"/>
        <v>59</v>
      </c>
      <c r="G4" s="2">
        <f t="shared" ref="G4:G8" si="1">AVERAGE(B4:E4)</f>
        <v>14.75</v>
      </c>
      <c r="J4" s="90" t="s">
        <v>84</v>
      </c>
      <c r="K4" s="76">
        <f>SUMSQ(F3:F8)/J12-K3</f>
        <v>331</v>
      </c>
      <c r="N4" s="91" t="s">
        <v>85</v>
      </c>
      <c r="O4" s="92">
        <f>G3</f>
        <v>12.75</v>
      </c>
      <c r="P4" s="76">
        <f>O4+J15</f>
        <v>13.446359581442422</v>
      </c>
      <c r="Q4" t="s">
        <v>49</v>
      </c>
    </row>
    <row r="5" spans="1:17" ht="15.5" x14ac:dyDescent="0.35">
      <c r="A5" s="8" t="s">
        <v>6</v>
      </c>
      <c r="B5" s="14">
        <v>17</v>
      </c>
      <c r="C5" s="15">
        <v>18</v>
      </c>
      <c r="D5" s="14">
        <v>17</v>
      </c>
      <c r="E5" s="15">
        <v>18</v>
      </c>
      <c r="F5" s="5">
        <f t="shared" si="0"/>
        <v>70</v>
      </c>
      <c r="G5" s="2">
        <f t="shared" si="1"/>
        <v>17.5</v>
      </c>
      <c r="J5" s="66" t="s">
        <v>86</v>
      </c>
      <c r="K5" s="93">
        <f>SUMSQ(B3:E8)-K3</f>
        <v>336.5</v>
      </c>
      <c r="N5" s="91" t="s">
        <v>87</v>
      </c>
      <c r="O5" s="92">
        <f t="shared" ref="O5:O9" si="2">G4</f>
        <v>14.75</v>
      </c>
      <c r="P5" s="76">
        <f>O5+J15</f>
        <v>15.446359581442422</v>
      </c>
      <c r="Q5" t="s">
        <v>62</v>
      </c>
    </row>
    <row r="6" spans="1:17" ht="15.5" x14ac:dyDescent="0.35">
      <c r="A6" s="8" t="s">
        <v>7</v>
      </c>
      <c r="B6" s="14">
        <v>19</v>
      </c>
      <c r="C6" s="15">
        <v>20</v>
      </c>
      <c r="D6" s="14">
        <v>19</v>
      </c>
      <c r="E6" s="15">
        <v>20</v>
      </c>
      <c r="F6" s="5">
        <f t="shared" si="0"/>
        <v>78</v>
      </c>
      <c r="G6" s="2">
        <f t="shared" si="1"/>
        <v>19.5</v>
      </c>
      <c r="J6" s="66" t="s">
        <v>88</v>
      </c>
      <c r="K6" s="93">
        <f>SUMSQ(B9:E9)/J11-K3</f>
        <v>4.1666666666669698</v>
      </c>
      <c r="N6" s="91" t="s">
        <v>89</v>
      </c>
      <c r="O6" s="92">
        <f t="shared" si="2"/>
        <v>17.5</v>
      </c>
      <c r="P6" s="76">
        <f>O6+J15</f>
        <v>18.196359581442422</v>
      </c>
      <c r="Q6" s="62" t="s">
        <v>64</v>
      </c>
    </row>
    <row r="7" spans="1:17" ht="15.5" x14ac:dyDescent="0.35">
      <c r="A7" s="8" t="s">
        <v>8</v>
      </c>
      <c r="B7" s="14">
        <v>21</v>
      </c>
      <c r="C7" s="15">
        <v>22</v>
      </c>
      <c r="D7" s="14">
        <v>21</v>
      </c>
      <c r="E7" s="15">
        <v>22</v>
      </c>
      <c r="F7" s="5">
        <f t="shared" si="0"/>
        <v>86</v>
      </c>
      <c r="G7" s="2">
        <f t="shared" si="1"/>
        <v>21.5</v>
      </c>
      <c r="J7" s="66" t="s">
        <v>43</v>
      </c>
      <c r="K7" s="94">
        <f>SQRT(D16)/G9*100</f>
        <v>0.55299549846529517</v>
      </c>
      <c r="N7" s="91" t="s">
        <v>90</v>
      </c>
      <c r="O7" s="92">
        <f t="shared" si="2"/>
        <v>19.5</v>
      </c>
      <c r="P7" s="76">
        <f>O7+J15</f>
        <v>20.196359581442422</v>
      </c>
      <c r="Q7" s="62" t="s">
        <v>65</v>
      </c>
    </row>
    <row r="8" spans="1:17" ht="16" thickBot="1" x14ac:dyDescent="0.4">
      <c r="A8" s="9" t="s">
        <v>9</v>
      </c>
      <c r="B8" s="16">
        <v>23</v>
      </c>
      <c r="C8" s="17">
        <v>24</v>
      </c>
      <c r="D8" s="16">
        <v>23</v>
      </c>
      <c r="E8" s="17">
        <v>24</v>
      </c>
      <c r="F8" s="6">
        <f t="shared" si="0"/>
        <v>94</v>
      </c>
      <c r="G8" s="3">
        <f t="shared" si="1"/>
        <v>23.5</v>
      </c>
      <c r="J8" s="66"/>
      <c r="K8" s="94"/>
      <c r="N8" s="91" t="s">
        <v>91</v>
      </c>
      <c r="O8" s="92">
        <f t="shared" si="2"/>
        <v>21.5</v>
      </c>
      <c r="P8" s="76">
        <f>O8+J15</f>
        <v>22.196359581442422</v>
      </c>
      <c r="Q8" t="s">
        <v>70</v>
      </c>
    </row>
    <row r="9" spans="1:17" ht="15.5" x14ac:dyDescent="0.35">
      <c r="A9" s="88" t="s">
        <v>13</v>
      </c>
      <c r="B9">
        <f>SUM(B3:B8)</f>
        <v>107</v>
      </c>
      <c r="C9">
        <f t="shared" ref="C9:G9" si="3">SUM(C3:C8)</f>
        <v>112</v>
      </c>
      <c r="D9">
        <f t="shared" si="3"/>
        <v>107</v>
      </c>
      <c r="E9">
        <f t="shared" si="3"/>
        <v>112</v>
      </c>
      <c r="F9">
        <f t="shared" si="3"/>
        <v>438</v>
      </c>
      <c r="G9">
        <f t="shared" si="3"/>
        <v>109.5</v>
      </c>
      <c r="J9" s="66"/>
      <c r="K9" s="95"/>
      <c r="N9" s="91" t="s">
        <v>92</v>
      </c>
      <c r="O9" s="92">
        <f t="shared" si="2"/>
        <v>23.5</v>
      </c>
      <c r="P9" s="76">
        <f>O9+J15</f>
        <v>24.196359581442422</v>
      </c>
      <c r="Q9" t="s">
        <v>71</v>
      </c>
    </row>
    <row r="10" spans="1:17" ht="15.5" x14ac:dyDescent="0.35">
      <c r="A10" s="131" t="s">
        <v>4</v>
      </c>
      <c r="B10">
        <f>AVERAGE(B3:B8)</f>
        <v>17.833333333333332</v>
      </c>
      <c r="C10">
        <f t="shared" ref="C10:E10" si="4">AVERAGE(C3:C8)</f>
        <v>18.666666666666668</v>
      </c>
      <c r="D10">
        <f t="shared" si="4"/>
        <v>17.833333333333332</v>
      </c>
      <c r="E10">
        <f t="shared" si="4"/>
        <v>18.666666666666668</v>
      </c>
      <c r="H10" s="64"/>
      <c r="I10" s="65"/>
      <c r="J10" s="65"/>
      <c r="K10" s="66"/>
      <c r="N10" s="91"/>
      <c r="O10" s="92"/>
      <c r="P10" s="7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132" t="s">
        <v>80</v>
      </c>
      <c r="O11" s="132" t="s">
        <v>4</v>
      </c>
      <c r="P11" s="132"/>
      <c r="Q11" s="53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133">
        <v>1</v>
      </c>
      <c r="O12" s="133">
        <v>17.833333333333332</v>
      </c>
      <c r="P12" s="133">
        <f>O12+J14</f>
        <v>17.833333333333332</v>
      </c>
      <c r="Q12" s="134" t="s">
        <v>49</v>
      </c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132">
        <v>3</v>
      </c>
      <c r="O13" s="53">
        <v>17.833333333333332</v>
      </c>
      <c r="P13" s="132">
        <f>O13+J15</f>
        <v>18.529692914775755</v>
      </c>
      <c r="Q13" s="53" t="s">
        <v>62</v>
      </c>
    </row>
    <row r="14" spans="1:17" ht="15.5" x14ac:dyDescent="0.35">
      <c r="A14" s="74" t="s">
        <v>80</v>
      </c>
      <c r="B14" s="74">
        <f>4-1</f>
        <v>3</v>
      </c>
      <c r="C14" s="75">
        <f>K6</f>
        <v>4.1666666666669698</v>
      </c>
      <c r="D14" s="76">
        <f>C14/B14</f>
        <v>1.3888888888889899</v>
      </c>
      <c r="E14" s="76">
        <f>D14/D16</f>
        <v>3.7878787878790634</v>
      </c>
      <c r="F14" s="76">
        <v>3.29</v>
      </c>
      <c r="G14" s="76">
        <v>5.42</v>
      </c>
      <c r="H14" s="77" t="s">
        <v>93</v>
      </c>
      <c r="K14" s="78"/>
      <c r="L14" s="68"/>
      <c r="M14" s="69"/>
      <c r="N14" s="132">
        <v>2</v>
      </c>
      <c r="O14" s="132">
        <v>18.666666666666668</v>
      </c>
      <c r="P14" s="132">
        <f>O14+J15</f>
        <v>19.36302624810909</v>
      </c>
      <c r="Q14" s="53" t="s">
        <v>64</v>
      </c>
    </row>
    <row r="15" spans="1:17" ht="15.5" x14ac:dyDescent="0.35">
      <c r="A15" s="74" t="s">
        <v>46</v>
      </c>
      <c r="B15" s="74">
        <f>6-1</f>
        <v>5</v>
      </c>
      <c r="C15" s="75">
        <f>K4</f>
        <v>331</v>
      </c>
      <c r="D15" s="76">
        <f>C15/B15</f>
        <v>66.2</v>
      </c>
      <c r="E15" s="76">
        <f>D15/D16</f>
        <v>180.54545454545456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0.69635958144242294</v>
      </c>
      <c r="K15" s="78"/>
      <c r="L15" s="68"/>
      <c r="M15" s="69"/>
      <c r="N15" s="132">
        <v>4</v>
      </c>
      <c r="O15" s="53">
        <v>18.666666666666668</v>
      </c>
      <c r="P15" s="132"/>
      <c r="Q15" s="53" t="s">
        <v>64</v>
      </c>
    </row>
    <row r="16" spans="1:17" ht="15.5" x14ac:dyDescent="0.35">
      <c r="A16" s="81" t="s">
        <v>37</v>
      </c>
      <c r="B16" s="81">
        <f>B14*B15</f>
        <v>15</v>
      </c>
      <c r="C16" s="82">
        <f>C17-C15</f>
        <v>5.5</v>
      </c>
      <c r="D16" s="83">
        <f>C16/B16</f>
        <v>0.36666666666666664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336.5</v>
      </c>
      <c r="D17" s="83"/>
      <c r="E17" s="85"/>
      <c r="F17" s="86"/>
      <c r="G17" s="87"/>
      <c r="I17" s="79" t="s">
        <v>83</v>
      </c>
      <c r="J17" s="80">
        <f>SQRT(D16)/4</f>
        <v>0.15138251770487457</v>
      </c>
      <c r="L17" s="68"/>
      <c r="M17" s="69"/>
      <c r="N17" s="69"/>
      <c r="O17" s="69"/>
      <c r="P17" s="69"/>
    </row>
    <row r="18" spans="1:16" ht="15.5" x14ac:dyDescent="0.35">
      <c r="N18" s="69"/>
      <c r="P18" s="69"/>
    </row>
  </sheetData>
  <sortState xmlns:xlrd2="http://schemas.microsoft.com/office/spreadsheetml/2017/richdata2" ref="N12:Q16">
    <sortCondition ref="O13:O16"/>
  </sortState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F6D2-017E-4D86-BC47-C2FE464944E8}">
  <dimension ref="A1:Q17"/>
  <sheetViews>
    <sheetView workbookViewId="0">
      <selection activeCell="H15" sqref="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17</v>
      </c>
      <c r="C3" s="13">
        <v>16</v>
      </c>
      <c r="D3" s="12">
        <v>17</v>
      </c>
      <c r="E3" s="13">
        <v>16</v>
      </c>
      <c r="F3" s="4">
        <f t="shared" ref="F3:F8" si="0">SUM(B3:E3)</f>
        <v>66</v>
      </c>
      <c r="G3" s="1">
        <f t="shared" ref="G3:G8" si="1">AVERAGE(B3:E3)</f>
        <v>16.5</v>
      </c>
      <c r="J3" s="66" t="s">
        <v>42</v>
      </c>
      <c r="K3" s="89">
        <f>F9^2/J13</f>
        <v>12060.166666666666</v>
      </c>
    </row>
    <row r="4" spans="1:17" ht="15.5" x14ac:dyDescent="0.35">
      <c r="A4" s="8" t="s">
        <v>5</v>
      </c>
      <c r="B4" s="14">
        <v>19</v>
      </c>
      <c r="C4" s="15">
        <v>18</v>
      </c>
      <c r="D4" s="14">
        <v>19</v>
      </c>
      <c r="E4" s="15">
        <v>18</v>
      </c>
      <c r="F4" s="5">
        <f t="shared" si="0"/>
        <v>74</v>
      </c>
      <c r="G4" s="2">
        <f t="shared" si="1"/>
        <v>18.5</v>
      </c>
      <c r="J4" s="90" t="s">
        <v>84</v>
      </c>
      <c r="K4" s="76">
        <f>SUMSQ(F3:F8)/J12-K3</f>
        <v>356.33333333333394</v>
      </c>
      <c r="N4" s="91" t="s">
        <v>85</v>
      </c>
      <c r="O4" s="92">
        <f>G3</f>
        <v>16.5</v>
      </c>
      <c r="P4" s="76">
        <f>O4+J15</f>
        <v>17.31317279836453</v>
      </c>
      <c r="Q4" t="s">
        <v>49</v>
      </c>
    </row>
    <row r="5" spans="1:17" ht="15.5" x14ac:dyDescent="0.35">
      <c r="A5" s="8" t="s">
        <v>6</v>
      </c>
      <c r="B5" s="14">
        <v>21</v>
      </c>
      <c r="C5" s="15">
        <v>23</v>
      </c>
      <c r="D5" s="14">
        <v>22</v>
      </c>
      <c r="E5" s="15">
        <v>23</v>
      </c>
      <c r="F5" s="5">
        <f t="shared" si="0"/>
        <v>89</v>
      </c>
      <c r="G5" s="2">
        <f t="shared" si="1"/>
        <v>22.25</v>
      </c>
      <c r="J5" s="66" t="s">
        <v>86</v>
      </c>
      <c r="K5" s="93">
        <f>SUMSQ(B3:E8)-K3</f>
        <v>363.83333333333394</v>
      </c>
      <c r="N5" s="91" t="s">
        <v>87</v>
      </c>
      <c r="O5" s="92">
        <f t="shared" ref="O5:O9" si="2">G4</f>
        <v>18.5</v>
      </c>
      <c r="P5" s="76">
        <f>O5+J15</f>
        <v>19.31317279836453</v>
      </c>
      <c r="Q5" t="s">
        <v>62</v>
      </c>
    </row>
    <row r="6" spans="1:17" ht="15.5" x14ac:dyDescent="0.35">
      <c r="A6" s="8" t="s">
        <v>7</v>
      </c>
      <c r="B6" s="14">
        <v>24</v>
      </c>
      <c r="C6" s="15">
        <v>25</v>
      </c>
      <c r="D6" s="14">
        <v>24</v>
      </c>
      <c r="E6" s="15">
        <v>24</v>
      </c>
      <c r="F6" s="5">
        <f t="shared" si="0"/>
        <v>97</v>
      </c>
      <c r="G6" s="2">
        <f t="shared" si="1"/>
        <v>24.25</v>
      </c>
      <c r="J6" s="66" t="s">
        <v>88</v>
      </c>
      <c r="K6" s="93">
        <f>SUMSQ(B9:E9)/J11-K3</f>
        <v>0.16666666666787933</v>
      </c>
      <c r="N6" s="91" t="s">
        <v>89</v>
      </c>
      <c r="O6" s="92">
        <f t="shared" si="2"/>
        <v>22.25</v>
      </c>
      <c r="P6" s="76">
        <f>O6+J15</f>
        <v>23.06317279836453</v>
      </c>
      <c r="Q6" s="62" t="s">
        <v>64</v>
      </c>
    </row>
    <row r="7" spans="1:17" ht="15.5" x14ac:dyDescent="0.35">
      <c r="A7" s="8" t="s">
        <v>8</v>
      </c>
      <c r="B7" s="14">
        <v>26</v>
      </c>
      <c r="C7" s="15">
        <v>26</v>
      </c>
      <c r="D7" s="14">
        <v>25</v>
      </c>
      <c r="E7" s="15">
        <v>25</v>
      </c>
      <c r="F7" s="5">
        <f t="shared" si="0"/>
        <v>102</v>
      </c>
      <c r="G7" s="2">
        <f t="shared" si="1"/>
        <v>25.5</v>
      </c>
      <c r="J7" s="66" t="s">
        <v>43</v>
      </c>
      <c r="K7" s="94">
        <f>SQRT(D16)/G9*100</f>
        <v>0.52572994883758184</v>
      </c>
      <c r="N7" s="91" t="s">
        <v>90</v>
      </c>
      <c r="O7" s="92">
        <f t="shared" si="2"/>
        <v>24.25</v>
      </c>
      <c r="P7" s="76">
        <f>O7+J15</f>
        <v>25.06317279836453</v>
      </c>
      <c r="Q7" s="62" t="s">
        <v>65</v>
      </c>
    </row>
    <row r="8" spans="1:17" ht="16" thickBot="1" x14ac:dyDescent="0.4">
      <c r="A8" s="9" t="s">
        <v>9</v>
      </c>
      <c r="B8" s="16">
        <v>28</v>
      </c>
      <c r="C8" s="17">
        <v>27</v>
      </c>
      <c r="D8" s="16">
        <v>27</v>
      </c>
      <c r="E8" s="17">
        <v>28</v>
      </c>
      <c r="F8" s="6">
        <f t="shared" si="0"/>
        <v>110</v>
      </c>
      <c r="G8" s="3">
        <f t="shared" si="1"/>
        <v>27.5</v>
      </c>
      <c r="J8" s="66"/>
      <c r="K8" s="94"/>
      <c r="N8" s="91" t="s">
        <v>91</v>
      </c>
      <c r="O8" s="92">
        <f t="shared" si="2"/>
        <v>25.5</v>
      </c>
      <c r="P8" s="76">
        <f>O8+J15</f>
        <v>26.31317279836453</v>
      </c>
      <c r="Q8" t="s">
        <v>70</v>
      </c>
    </row>
    <row r="9" spans="1:17" ht="15.5" x14ac:dyDescent="0.35">
      <c r="A9" s="88" t="s">
        <v>13</v>
      </c>
      <c r="B9">
        <f>SUM(B3:B8)</f>
        <v>135</v>
      </c>
      <c r="C9">
        <f t="shared" ref="C9:G9" si="3">SUM(C3:C8)</f>
        <v>135</v>
      </c>
      <c r="D9">
        <f t="shared" si="3"/>
        <v>134</v>
      </c>
      <c r="E9">
        <f t="shared" si="3"/>
        <v>134</v>
      </c>
      <c r="F9">
        <f t="shared" si="3"/>
        <v>538</v>
      </c>
      <c r="G9">
        <f t="shared" si="3"/>
        <v>134.5</v>
      </c>
      <c r="J9" s="66"/>
      <c r="K9" s="95"/>
      <c r="N9" s="91" t="s">
        <v>92</v>
      </c>
      <c r="O9" s="92">
        <f t="shared" si="2"/>
        <v>27.5</v>
      </c>
      <c r="P9" s="76">
        <f>O9+J15</f>
        <v>28.31317279836453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0.16666666666787933</v>
      </c>
      <c r="D14" s="76">
        <f>C14/B14</f>
        <v>5.5555555555959778E-2</v>
      </c>
      <c r="E14" s="76">
        <f>D14/D16</f>
        <v>0.11111111111191956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356.33333333333394</v>
      </c>
      <c r="D15" s="76">
        <f>C15/B15</f>
        <v>71.266666666666794</v>
      </c>
      <c r="E15" s="76">
        <f>D15/D16</f>
        <v>142.53333333333359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0.8131727983645296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7.5</v>
      </c>
      <c r="D16" s="83">
        <f>C16/B16</f>
        <v>0.5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363.83333333333394</v>
      </c>
      <c r="D17" s="83"/>
      <c r="E17" s="85"/>
      <c r="F17" s="86"/>
      <c r="G17" s="87"/>
      <c r="I17" s="79" t="s">
        <v>83</v>
      </c>
      <c r="J17" s="80">
        <f>SQRT(D16)/4</f>
        <v>0.17677669529663689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86F9-EE2B-4BFA-BAFF-29F3C47E9037}">
  <dimension ref="A1:Q17"/>
  <sheetViews>
    <sheetView topLeftCell="A4" workbookViewId="0">
      <selection activeCell="H15" sqref="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21</v>
      </c>
      <c r="C3" s="13">
        <v>22</v>
      </c>
      <c r="D3" s="12">
        <v>21</v>
      </c>
      <c r="E3" s="13">
        <v>22</v>
      </c>
      <c r="F3" s="4">
        <f t="shared" ref="F3:F8" si="0">SUM(B3:E3)</f>
        <v>86</v>
      </c>
      <c r="G3" s="1">
        <f t="shared" ref="G3:G8" si="1">AVERAGE(B3:E3)</f>
        <v>21.5</v>
      </c>
      <c r="J3" s="66" t="s">
        <v>42</v>
      </c>
      <c r="K3" s="89">
        <f>F9^2/J13</f>
        <v>18704.166666666668</v>
      </c>
    </row>
    <row r="4" spans="1:17" ht="15.5" x14ac:dyDescent="0.35">
      <c r="A4" s="8" t="s">
        <v>5</v>
      </c>
      <c r="B4" s="14">
        <v>24</v>
      </c>
      <c r="C4" s="15">
        <v>25</v>
      </c>
      <c r="D4" s="14">
        <v>24</v>
      </c>
      <c r="E4" s="15">
        <v>24</v>
      </c>
      <c r="F4" s="5">
        <f t="shared" si="0"/>
        <v>97</v>
      </c>
      <c r="G4" s="2">
        <f t="shared" si="1"/>
        <v>24.25</v>
      </c>
      <c r="J4" s="90" t="s">
        <v>84</v>
      </c>
      <c r="K4" s="76">
        <f>SUMSQ(F3:F8)/J12-K3</f>
        <v>492.83333333333212</v>
      </c>
      <c r="N4" s="91" t="s">
        <v>85</v>
      </c>
      <c r="O4" s="92">
        <f>G3</f>
        <v>21.5</v>
      </c>
      <c r="P4" s="76">
        <f>O4+J15</f>
        <v>22.285599558723568</v>
      </c>
      <c r="Q4" t="s">
        <v>49</v>
      </c>
    </row>
    <row r="5" spans="1:17" ht="15.5" x14ac:dyDescent="0.35">
      <c r="A5" s="8" t="s">
        <v>6</v>
      </c>
      <c r="B5" s="14">
        <v>26</v>
      </c>
      <c r="C5" s="15">
        <v>26</v>
      </c>
      <c r="D5" s="14">
        <v>27</v>
      </c>
      <c r="E5" s="15">
        <v>26</v>
      </c>
      <c r="F5" s="5">
        <f t="shared" si="0"/>
        <v>105</v>
      </c>
      <c r="G5" s="2">
        <f t="shared" si="1"/>
        <v>26.25</v>
      </c>
      <c r="J5" s="66" t="s">
        <v>86</v>
      </c>
      <c r="K5" s="93">
        <f>SUMSQ(B3:E8)-K3</f>
        <v>499.83333333333212</v>
      </c>
      <c r="N5" s="91" t="s">
        <v>87</v>
      </c>
      <c r="O5" s="92">
        <f t="shared" ref="O5:O9" si="2">G4</f>
        <v>24.25</v>
      </c>
      <c r="P5" s="76">
        <f>O5+J15</f>
        <v>25.035599558723568</v>
      </c>
      <c r="Q5" t="s">
        <v>62</v>
      </c>
    </row>
    <row r="6" spans="1:17" ht="15.5" x14ac:dyDescent="0.35">
      <c r="A6" s="8" t="s">
        <v>7</v>
      </c>
      <c r="B6" s="14">
        <v>29</v>
      </c>
      <c r="C6" s="15">
        <v>28</v>
      </c>
      <c r="D6" s="14">
        <v>29</v>
      </c>
      <c r="E6" s="15">
        <v>28</v>
      </c>
      <c r="F6" s="5">
        <f t="shared" si="0"/>
        <v>114</v>
      </c>
      <c r="G6" s="2">
        <f t="shared" si="1"/>
        <v>28.5</v>
      </c>
      <c r="J6" s="66" t="s">
        <v>88</v>
      </c>
      <c r="K6" s="93">
        <f>SUMSQ(B9:E9)/J11-K3</f>
        <v>1.5</v>
      </c>
      <c r="N6" s="91" t="s">
        <v>89</v>
      </c>
      <c r="O6" s="92">
        <f t="shared" si="2"/>
        <v>26.25</v>
      </c>
      <c r="P6" s="76">
        <f>O6+J15</f>
        <v>27.035599558723568</v>
      </c>
      <c r="Q6" s="62" t="s">
        <v>64</v>
      </c>
    </row>
    <row r="7" spans="1:17" ht="15.5" x14ac:dyDescent="0.35">
      <c r="A7" s="8" t="s">
        <v>8</v>
      </c>
      <c r="B7" s="14">
        <v>31</v>
      </c>
      <c r="C7" s="15">
        <v>33</v>
      </c>
      <c r="D7" s="14">
        <v>32</v>
      </c>
      <c r="E7" s="15">
        <v>33</v>
      </c>
      <c r="F7" s="5">
        <f t="shared" si="0"/>
        <v>129</v>
      </c>
      <c r="G7" s="2">
        <f t="shared" si="1"/>
        <v>32.25</v>
      </c>
      <c r="J7" s="66" t="s">
        <v>43</v>
      </c>
      <c r="K7" s="94">
        <f>SQRT(D16)/G9*100</f>
        <v>0.40783883645610336</v>
      </c>
      <c r="N7" s="91" t="s">
        <v>90</v>
      </c>
      <c r="O7" s="92">
        <f t="shared" si="2"/>
        <v>28.5</v>
      </c>
      <c r="P7" s="76">
        <f>O7+J15</f>
        <v>29.285599558723568</v>
      </c>
      <c r="Q7" s="62" t="s">
        <v>65</v>
      </c>
    </row>
    <row r="8" spans="1:17" ht="16" thickBot="1" x14ac:dyDescent="0.4">
      <c r="A8" s="9" t="s">
        <v>9</v>
      </c>
      <c r="B8" s="16">
        <v>34</v>
      </c>
      <c r="C8" s="17">
        <v>35</v>
      </c>
      <c r="D8" s="16">
        <v>35</v>
      </c>
      <c r="E8" s="17">
        <v>35</v>
      </c>
      <c r="F8" s="6">
        <f t="shared" si="0"/>
        <v>139</v>
      </c>
      <c r="G8" s="3">
        <f t="shared" si="1"/>
        <v>34.75</v>
      </c>
      <c r="J8" s="66"/>
      <c r="K8" s="94"/>
      <c r="N8" s="91" t="s">
        <v>91</v>
      </c>
      <c r="O8" s="92">
        <f t="shared" si="2"/>
        <v>32.25</v>
      </c>
      <c r="P8" s="76">
        <f>O8+J15</f>
        <v>33.035599558723568</v>
      </c>
      <c r="Q8" t="s">
        <v>70</v>
      </c>
    </row>
    <row r="9" spans="1:17" ht="15.5" x14ac:dyDescent="0.35">
      <c r="A9" s="88" t="s">
        <v>13</v>
      </c>
      <c r="B9">
        <f>SUM(B3:B8)</f>
        <v>165</v>
      </c>
      <c r="C9">
        <f t="shared" ref="C9:G9" si="3">SUM(C3:C8)</f>
        <v>169</v>
      </c>
      <c r="D9">
        <f t="shared" si="3"/>
        <v>168</v>
      </c>
      <c r="E9">
        <f t="shared" si="3"/>
        <v>168</v>
      </c>
      <c r="F9">
        <f t="shared" si="3"/>
        <v>670</v>
      </c>
      <c r="G9">
        <f t="shared" si="3"/>
        <v>167.5</v>
      </c>
      <c r="J9" s="66"/>
      <c r="K9" s="95"/>
      <c r="N9" s="91" t="s">
        <v>92</v>
      </c>
      <c r="O9" s="92">
        <f t="shared" si="2"/>
        <v>34.75</v>
      </c>
      <c r="P9" s="76">
        <f>O9+J15</f>
        <v>35.535599558723568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1.5</v>
      </c>
      <c r="D14" s="76">
        <f>C14/B14</f>
        <v>0.5</v>
      </c>
      <c r="E14" s="76">
        <f>D14/D16</f>
        <v>1.0714285714285714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492.83333333333212</v>
      </c>
      <c r="D15" s="76">
        <f>C15/B15</f>
        <v>98.566666666666421</v>
      </c>
      <c r="E15" s="76">
        <f>D15/D16</f>
        <v>211.21428571428518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0.78559955872356912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7</v>
      </c>
      <c r="D16" s="83">
        <f>C16/B16</f>
        <v>0.46666666666666667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499.83333333333212</v>
      </c>
      <c r="D17" s="83"/>
      <c r="E17" s="85"/>
      <c r="F17" s="86"/>
      <c r="G17" s="87"/>
      <c r="I17" s="79" t="s">
        <v>83</v>
      </c>
      <c r="J17" s="80">
        <f>SQRT(D16)/4</f>
        <v>0.17078251276599329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4E5A-6AA8-48E4-9789-C63EEACC57E5}">
  <dimension ref="A1:Q17"/>
  <sheetViews>
    <sheetView workbookViewId="0">
      <selection activeCell="E18" sqref="E18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25</v>
      </c>
      <c r="C3" s="13">
        <v>26</v>
      </c>
      <c r="D3" s="12">
        <v>25</v>
      </c>
      <c r="E3" s="13">
        <v>26</v>
      </c>
      <c r="F3" s="4">
        <f t="shared" ref="F3:F8" si="0">SUM(B3:E3)</f>
        <v>102</v>
      </c>
      <c r="G3" s="1">
        <f t="shared" ref="G3:G8" si="1">AVERAGE(B3:E3)</f>
        <v>25.5</v>
      </c>
      <c r="J3" s="66" t="s">
        <v>42</v>
      </c>
      <c r="K3" s="89">
        <f>F9^2/J13</f>
        <v>26666.666666666668</v>
      </c>
    </row>
    <row r="4" spans="1:17" ht="15.5" x14ac:dyDescent="0.35">
      <c r="A4" s="8" t="s">
        <v>5</v>
      </c>
      <c r="B4" s="14">
        <v>28</v>
      </c>
      <c r="C4" s="15">
        <v>29</v>
      </c>
      <c r="D4" s="14">
        <v>28</v>
      </c>
      <c r="E4" s="15">
        <v>29</v>
      </c>
      <c r="F4" s="5">
        <f t="shared" si="0"/>
        <v>114</v>
      </c>
      <c r="G4" s="2">
        <f t="shared" si="1"/>
        <v>28.5</v>
      </c>
      <c r="J4" s="90" t="s">
        <v>84</v>
      </c>
      <c r="K4" s="76">
        <f>SUMSQ(F3:F8)/J12-K3</f>
        <v>635.33333333333212</v>
      </c>
      <c r="N4" s="91" t="s">
        <v>85</v>
      </c>
      <c r="O4" s="92">
        <f>G3</f>
        <v>25.5</v>
      </c>
      <c r="P4" s="76">
        <f>O4+J15</f>
        <v>26.339841254841254</v>
      </c>
      <c r="Q4" t="s">
        <v>49</v>
      </c>
    </row>
    <row r="5" spans="1:17" ht="15.5" x14ac:dyDescent="0.35">
      <c r="A5" s="8" t="s">
        <v>6</v>
      </c>
      <c r="B5" s="14">
        <v>33</v>
      </c>
      <c r="C5" s="15">
        <v>31</v>
      </c>
      <c r="D5" s="14">
        <v>33</v>
      </c>
      <c r="E5" s="15">
        <v>33</v>
      </c>
      <c r="F5" s="5">
        <f t="shared" si="0"/>
        <v>130</v>
      </c>
      <c r="G5" s="2">
        <f t="shared" si="1"/>
        <v>32.5</v>
      </c>
      <c r="J5" s="66" t="s">
        <v>86</v>
      </c>
      <c r="K5" s="93">
        <f>SUMSQ(B3:E8)-K3</f>
        <v>643.33333333333212</v>
      </c>
      <c r="N5" s="91" t="s">
        <v>87</v>
      </c>
      <c r="O5" s="92">
        <f t="shared" ref="O5:O9" si="2">G4</f>
        <v>28.5</v>
      </c>
      <c r="P5" s="76">
        <f>O5+J15</f>
        <v>29.339841254841254</v>
      </c>
      <c r="Q5" t="s">
        <v>62</v>
      </c>
    </row>
    <row r="6" spans="1:17" ht="15.5" x14ac:dyDescent="0.35">
      <c r="A6" s="8" t="s">
        <v>7</v>
      </c>
      <c r="B6" s="14">
        <v>35</v>
      </c>
      <c r="C6" s="15">
        <v>36</v>
      </c>
      <c r="D6" s="14">
        <v>35</v>
      </c>
      <c r="E6" s="15">
        <v>36</v>
      </c>
      <c r="F6" s="5">
        <f t="shared" si="0"/>
        <v>142</v>
      </c>
      <c r="G6" s="2">
        <f t="shared" si="1"/>
        <v>35.5</v>
      </c>
      <c r="J6" s="66" t="s">
        <v>88</v>
      </c>
      <c r="K6" s="93">
        <f>SUMSQ(B9:E9)/J11-K3</f>
        <v>3</v>
      </c>
      <c r="N6" s="91" t="s">
        <v>89</v>
      </c>
      <c r="O6" s="92">
        <f t="shared" si="2"/>
        <v>32.5</v>
      </c>
      <c r="P6" s="76">
        <f>O6+J15</f>
        <v>33.339841254841254</v>
      </c>
      <c r="Q6" s="62" t="s">
        <v>64</v>
      </c>
    </row>
    <row r="7" spans="1:17" ht="15.5" x14ac:dyDescent="0.35">
      <c r="A7" s="8" t="s">
        <v>8</v>
      </c>
      <c r="B7" s="14">
        <v>37</v>
      </c>
      <c r="C7" s="15">
        <v>38</v>
      </c>
      <c r="D7" s="14">
        <v>37</v>
      </c>
      <c r="E7" s="15">
        <v>38</v>
      </c>
      <c r="F7" s="5">
        <f t="shared" si="0"/>
        <v>150</v>
      </c>
      <c r="G7" s="2">
        <f t="shared" si="1"/>
        <v>37.5</v>
      </c>
      <c r="J7" s="66" t="s">
        <v>43</v>
      </c>
      <c r="K7" s="94">
        <f>SQRT(D16)/G9*100</f>
        <v>0.36514837167011072</v>
      </c>
      <c r="N7" s="91" t="s">
        <v>90</v>
      </c>
      <c r="O7" s="92">
        <f t="shared" si="2"/>
        <v>35.5</v>
      </c>
      <c r="P7" s="76">
        <f>O7+J15</f>
        <v>36.339841254841254</v>
      </c>
      <c r="Q7" s="62" t="s">
        <v>65</v>
      </c>
    </row>
    <row r="8" spans="1:17" ht="16" thickBot="1" x14ac:dyDescent="0.4">
      <c r="A8" s="9" t="s">
        <v>9</v>
      </c>
      <c r="B8" s="16">
        <v>40</v>
      </c>
      <c r="C8" s="17">
        <v>41</v>
      </c>
      <c r="D8" s="16">
        <v>40</v>
      </c>
      <c r="E8" s="17">
        <v>41</v>
      </c>
      <c r="F8" s="6">
        <f t="shared" si="0"/>
        <v>162</v>
      </c>
      <c r="G8" s="3">
        <f t="shared" si="1"/>
        <v>40.5</v>
      </c>
      <c r="J8" s="66"/>
      <c r="K8" s="94"/>
      <c r="N8" s="91" t="s">
        <v>91</v>
      </c>
      <c r="O8" s="92">
        <f t="shared" si="2"/>
        <v>37.5</v>
      </c>
      <c r="P8" s="76">
        <f>O8+J15</f>
        <v>38.339841254841254</v>
      </c>
      <c r="Q8" t="s">
        <v>70</v>
      </c>
    </row>
    <row r="9" spans="1:17" ht="15.5" x14ac:dyDescent="0.35">
      <c r="A9" s="88" t="s">
        <v>13</v>
      </c>
      <c r="B9">
        <f>SUM(B3:B8)</f>
        <v>198</v>
      </c>
      <c r="C9">
        <f t="shared" ref="C9:G9" si="3">SUM(C3:C8)</f>
        <v>201</v>
      </c>
      <c r="D9">
        <f t="shared" si="3"/>
        <v>198</v>
      </c>
      <c r="E9">
        <f t="shared" si="3"/>
        <v>203</v>
      </c>
      <c r="F9">
        <f t="shared" si="3"/>
        <v>800</v>
      </c>
      <c r="G9">
        <f t="shared" si="3"/>
        <v>200</v>
      </c>
      <c r="J9" s="66"/>
      <c r="K9" s="95"/>
      <c r="N9" s="91" t="s">
        <v>92</v>
      </c>
      <c r="O9" s="92">
        <f t="shared" si="2"/>
        <v>40.5</v>
      </c>
      <c r="P9" s="76">
        <f>O9+J15</f>
        <v>41.339841254841254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3</v>
      </c>
      <c r="D14" s="76">
        <f>C14/B14</f>
        <v>1</v>
      </c>
      <c r="E14" s="76">
        <f>D14/D16</f>
        <v>1.875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635.33333333333212</v>
      </c>
      <c r="D15" s="76">
        <f>C15/B15</f>
        <v>127.06666666666642</v>
      </c>
      <c r="E15" s="76">
        <f>D15/D16</f>
        <v>238.24999999999955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0.8398412548412546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8</v>
      </c>
      <c r="D16" s="83">
        <f>C16/B16</f>
        <v>0.53333333333333333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643.33333333333212</v>
      </c>
      <c r="D17" s="83"/>
      <c r="E17" s="85"/>
      <c r="F17" s="86"/>
      <c r="G17" s="87"/>
      <c r="I17" s="79" t="s">
        <v>83</v>
      </c>
      <c r="J17" s="80">
        <f>SQRT(D16)/4</f>
        <v>0.18257418583505536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8E68-E130-4493-80CF-64EBD391014B}">
  <dimension ref="A1:Q17"/>
  <sheetViews>
    <sheetView topLeftCell="A2" workbookViewId="0">
      <selection activeCell="R16" sqref="R16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2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7" t="s">
        <v>10</v>
      </c>
      <c r="B3" s="12">
        <v>29</v>
      </c>
      <c r="C3" s="13">
        <v>30</v>
      </c>
      <c r="D3" s="12">
        <v>30</v>
      </c>
      <c r="E3" s="13">
        <v>30</v>
      </c>
      <c r="F3" s="4">
        <f t="shared" ref="F3:F8" si="0">SUM(B3:E3)</f>
        <v>119</v>
      </c>
      <c r="G3" s="1">
        <f t="shared" ref="G3:G8" si="1">AVERAGE(B3:E3)</f>
        <v>29.75</v>
      </c>
      <c r="J3" s="66" t="s">
        <v>42</v>
      </c>
      <c r="K3" s="89">
        <f>F9^2/J13</f>
        <v>37683.375</v>
      </c>
    </row>
    <row r="4" spans="1:17" ht="15.5" x14ac:dyDescent="0.35">
      <c r="A4" s="8" t="s">
        <v>5</v>
      </c>
      <c r="B4" s="14">
        <v>35</v>
      </c>
      <c r="C4" s="15">
        <v>36</v>
      </c>
      <c r="D4" s="14">
        <v>35</v>
      </c>
      <c r="E4" s="15">
        <v>36</v>
      </c>
      <c r="F4" s="5">
        <f t="shared" si="0"/>
        <v>142</v>
      </c>
      <c r="G4" s="2">
        <f t="shared" si="1"/>
        <v>35.5</v>
      </c>
      <c r="J4" s="90" t="s">
        <v>84</v>
      </c>
      <c r="K4" s="76">
        <f>SUMSQ(F3:F8)/J12-K3</f>
        <v>860.375</v>
      </c>
      <c r="N4" s="91" t="s">
        <v>85</v>
      </c>
      <c r="O4" s="92">
        <f>G3</f>
        <v>29.75</v>
      </c>
      <c r="P4" s="76">
        <f>O4+J15</f>
        <v>30.653073455853214</v>
      </c>
      <c r="Q4" t="s">
        <v>49</v>
      </c>
    </row>
    <row r="5" spans="1:17" ht="15.5" x14ac:dyDescent="0.35">
      <c r="A5" s="8" t="s">
        <v>6</v>
      </c>
      <c r="B5" s="14">
        <v>38</v>
      </c>
      <c r="C5" s="15">
        <v>39</v>
      </c>
      <c r="D5" s="14">
        <v>38</v>
      </c>
      <c r="E5" s="15">
        <v>39</v>
      </c>
      <c r="F5" s="5">
        <f t="shared" si="0"/>
        <v>154</v>
      </c>
      <c r="G5" s="2">
        <f t="shared" si="1"/>
        <v>38.5</v>
      </c>
      <c r="J5" s="66" t="s">
        <v>86</v>
      </c>
      <c r="K5" s="93">
        <f>SUMSQ(B3:E8)-K3</f>
        <v>869.625</v>
      </c>
      <c r="N5" s="91" t="s">
        <v>87</v>
      </c>
      <c r="O5" s="92">
        <f t="shared" ref="O5:O9" si="2">G4</f>
        <v>35.5</v>
      </c>
      <c r="P5" s="76">
        <f>O5+J15</f>
        <v>36.403073455853217</v>
      </c>
      <c r="Q5" t="s">
        <v>62</v>
      </c>
    </row>
    <row r="6" spans="1:17" ht="15.5" x14ac:dyDescent="0.35">
      <c r="A6" s="8" t="s">
        <v>7</v>
      </c>
      <c r="B6" s="14">
        <v>41</v>
      </c>
      <c r="C6" s="15">
        <v>42</v>
      </c>
      <c r="D6" s="14">
        <v>41</v>
      </c>
      <c r="E6" s="15">
        <v>42</v>
      </c>
      <c r="F6" s="5">
        <f t="shared" si="0"/>
        <v>166</v>
      </c>
      <c r="G6" s="2">
        <f t="shared" si="1"/>
        <v>41.5</v>
      </c>
      <c r="J6" s="66" t="s">
        <v>88</v>
      </c>
      <c r="K6" s="93">
        <f>SUMSQ(B9:E9)/J11-K3</f>
        <v>7.7916666666642413</v>
      </c>
      <c r="N6" s="91" t="s">
        <v>89</v>
      </c>
      <c r="O6" s="92">
        <f t="shared" si="2"/>
        <v>38.5</v>
      </c>
      <c r="P6" s="76">
        <f>O6+J15</f>
        <v>39.403073455853217</v>
      </c>
      <c r="Q6" s="62" t="s">
        <v>64</v>
      </c>
    </row>
    <row r="7" spans="1:17" ht="15.5" x14ac:dyDescent="0.35">
      <c r="A7" s="8" t="s">
        <v>8</v>
      </c>
      <c r="B7" s="14">
        <v>43</v>
      </c>
      <c r="C7" s="15">
        <v>45</v>
      </c>
      <c r="D7" s="14">
        <v>44</v>
      </c>
      <c r="E7" s="15">
        <v>45</v>
      </c>
      <c r="F7" s="5">
        <f t="shared" si="0"/>
        <v>177</v>
      </c>
      <c r="G7" s="2">
        <f t="shared" si="1"/>
        <v>44.25</v>
      </c>
      <c r="J7" s="66" t="s">
        <v>43</v>
      </c>
      <c r="K7" s="94">
        <f>SQRT(D16)/G9*100</f>
        <v>0.33029706244345591</v>
      </c>
      <c r="N7" s="91" t="s">
        <v>90</v>
      </c>
      <c r="O7" s="92">
        <f t="shared" si="2"/>
        <v>41.5</v>
      </c>
      <c r="P7" s="76">
        <f>O7+J15</f>
        <v>42.403073455853217</v>
      </c>
      <c r="Q7" s="62" t="s">
        <v>65</v>
      </c>
    </row>
    <row r="8" spans="1:17" ht="16" thickBot="1" x14ac:dyDescent="0.4">
      <c r="A8" s="9" t="s">
        <v>9</v>
      </c>
      <c r="B8" s="16">
        <v>47</v>
      </c>
      <c r="C8" s="17">
        <v>49</v>
      </c>
      <c r="D8" s="16">
        <v>48</v>
      </c>
      <c r="E8" s="17">
        <v>49</v>
      </c>
      <c r="F8" s="6">
        <f t="shared" si="0"/>
        <v>193</v>
      </c>
      <c r="G8" s="3">
        <f t="shared" si="1"/>
        <v>48.25</v>
      </c>
      <c r="J8" s="66"/>
      <c r="K8" s="94"/>
      <c r="N8" s="91" t="s">
        <v>91</v>
      </c>
      <c r="O8" s="92">
        <f t="shared" si="2"/>
        <v>44.25</v>
      </c>
      <c r="P8" s="76">
        <f>O8+J15</f>
        <v>45.153073455853217</v>
      </c>
      <c r="Q8" t="s">
        <v>70</v>
      </c>
    </row>
    <row r="9" spans="1:17" ht="15.5" x14ac:dyDescent="0.35">
      <c r="A9" s="88" t="s">
        <v>13</v>
      </c>
      <c r="B9">
        <f>SUM(B3:B8)</f>
        <v>233</v>
      </c>
      <c r="C9">
        <f t="shared" ref="C9:G9" si="3">SUM(C3:C8)</f>
        <v>241</v>
      </c>
      <c r="D9">
        <f t="shared" si="3"/>
        <v>236</v>
      </c>
      <c r="E9">
        <f t="shared" si="3"/>
        <v>241</v>
      </c>
      <c r="F9">
        <f t="shared" si="3"/>
        <v>951</v>
      </c>
      <c r="G9">
        <f t="shared" si="3"/>
        <v>237.75</v>
      </c>
      <c r="J9" s="66"/>
      <c r="K9" s="95"/>
      <c r="N9" s="91" t="s">
        <v>92</v>
      </c>
      <c r="O9" s="92">
        <f t="shared" si="2"/>
        <v>48.25</v>
      </c>
      <c r="P9" s="76">
        <f>O9+J15</f>
        <v>49.153073455853217</v>
      </c>
      <c r="Q9" t="s">
        <v>71</v>
      </c>
    </row>
    <row r="10" spans="1:17" ht="15.5" x14ac:dyDescent="0.35">
      <c r="A10" s="131" t="s">
        <v>4</v>
      </c>
      <c r="B10">
        <f>AVERAGE(B3:B8)</f>
        <v>38.833333333333336</v>
      </c>
      <c r="C10">
        <f t="shared" ref="C10:E10" si="4">AVERAGE(C3:C8)</f>
        <v>40.166666666666664</v>
      </c>
      <c r="D10">
        <f t="shared" si="4"/>
        <v>39.333333333333336</v>
      </c>
      <c r="E10">
        <f t="shared" si="4"/>
        <v>40.166666666666664</v>
      </c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 t="s">
        <v>80</v>
      </c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7.7916666666642413</v>
      </c>
      <c r="D14" s="76">
        <f>C14/B14</f>
        <v>2.5972222222214136</v>
      </c>
      <c r="E14" s="76">
        <f>D14/D16</f>
        <v>4.2117117117104002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>
        <v>1</v>
      </c>
      <c r="O14" s="69">
        <v>38.833333333333336</v>
      </c>
      <c r="P14" s="69">
        <f>O14+J15</f>
        <v>39.736406789186546</v>
      </c>
      <c r="Q14" t="s">
        <v>49</v>
      </c>
    </row>
    <row r="15" spans="1:17" ht="15.5" x14ac:dyDescent="0.35">
      <c r="A15" s="74" t="s">
        <v>46</v>
      </c>
      <c r="B15" s="74">
        <f>6-1</f>
        <v>5</v>
      </c>
      <c r="C15" s="75">
        <f>K4</f>
        <v>860.375</v>
      </c>
      <c r="D15" s="76">
        <f>C15/B15</f>
        <v>172.07499999999999</v>
      </c>
      <c r="E15" s="76">
        <f>D15/D16</f>
        <v>279.04054054054052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0.90307345585321386</v>
      </c>
      <c r="K15" s="78"/>
      <c r="L15" s="68"/>
      <c r="M15" s="69"/>
      <c r="N15" s="69">
        <v>3</v>
      </c>
      <c r="O15">
        <v>39.333333333333336</v>
      </c>
      <c r="P15" s="69"/>
      <c r="Q15" t="s">
        <v>49</v>
      </c>
    </row>
    <row r="16" spans="1:17" ht="15.5" x14ac:dyDescent="0.35">
      <c r="A16" s="81" t="s">
        <v>37</v>
      </c>
      <c r="B16" s="81">
        <f>B14*B15</f>
        <v>15</v>
      </c>
      <c r="C16" s="82">
        <f>C17-C15</f>
        <v>9.25</v>
      </c>
      <c r="D16" s="83">
        <f>C16/B16</f>
        <v>0.6166666666666667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>
        <v>2</v>
      </c>
      <c r="O16" s="69">
        <v>40.166666666666664</v>
      </c>
      <c r="P16" s="69">
        <f>O16+J15</f>
        <v>41.069740122519875</v>
      </c>
      <c r="Q16" t="s">
        <v>62</v>
      </c>
    </row>
    <row r="17" spans="1:17" ht="15.5" x14ac:dyDescent="0.35">
      <c r="A17" s="81" t="s">
        <v>13</v>
      </c>
      <c r="B17" s="81">
        <f>SUM(B14:B16)</f>
        <v>23</v>
      </c>
      <c r="C17" s="82">
        <f>K5</f>
        <v>869.625</v>
      </c>
      <c r="D17" s="83"/>
      <c r="E17" s="85"/>
      <c r="F17" s="86"/>
      <c r="G17" s="87"/>
      <c r="I17" s="79" t="s">
        <v>83</v>
      </c>
      <c r="J17" s="80">
        <f>SQRT(D16)/4</f>
        <v>0.19632031648982912</v>
      </c>
      <c r="L17" s="68"/>
      <c r="M17" s="69"/>
      <c r="N17" s="69">
        <v>4</v>
      </c>
      <c r="O17">
        <v>40.166666666666664</v>
      </c>
      <c r="P17" s="69">
        <f>O17+J15</f>
        <v>41.069740122519875</v>
      </c>
      <c r="Q17" t="s">
        <v>64</v>
      </c>
    </row>
  </sheetData>
  <sortState xmlns:xlrd2="http://schemas.microsoft.com/office/spreadsheetml/2017/richdata2" ref="N14:O17">
    <sortCondition ref="O14:O17"/>
  </sortState>
  <mergeCells count="10">
    <mergeCell ref="F12:G12"/>
    <mergeCell ref="A1:A2"/>
    <mergeCell ref="B1:E1"/>
    <mergeCell ref="F1:F2"/>
    <mergeCell ref="G1:G2"/>
    <mergeCell ref="A12:A13"/>
    <mergeCell ref="B12:B13"/>
    <mergeCell ref="C12:C13"/>
    <mergeCell ref="D12:D13"/>
    <mergeCell ref="E12:E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5626-B3B8-4CA4-BD9D-E24EF1278B51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6</v>
      </c>
      <c r="C3" s="12">
        <v>5</v>
      </c>
      <c r="D3" s="13">
        <v>6</v>
      </c>
      <c r="E3" s="12">
        <v>7</v>
      </c>
      <c r="F3" s="1">
        <f>SUM(B3:E3)</f>
        <v>24</v>
      </c>
      <c r="G3" s="21">
        <f>AVERAGE(B3:E3)</f>
        <v>6</v>
      </c>
      <c r="J3" s="66" t="s">
        <v>42</v>
      </c>
      <c r="K3" s="89">
        <f>F9^2/J13</f>
        <v>2223.375</v>
      </c>
    </row>
    <row r="4" spans="1:17" ht="15.5" x14ac:dyDescent="0.35">
      <c r="A4" s="18" t="s">
        <v>5</v>
      </c>
      <c r="B4" s="15">
        <v>8</v>
      </c>
      <c r="C4" s="14">
        <v>7</v>
      </c>
      <c r="D4" s="15">
        <v>8</v>
      </c>
      <c r="E4" s="14">
        <v>8</v>
      </c>
      <c r="F4" s="2">
        <f t="shared" ref="F4:F8" si="0">SUM(B4:E4)</f>
        <v>31</v>
      </c>
      <c r="G4" s="22">
        <f t="shared" ref="G4:G8" si="1">AVERAGE(B4:E4)</f>
        <v>7.75</v>
      </c>
      <c r="J4" s="90" t="s">
        <v>84</v>
      </c>
      <c r="K4" s="76">
        <f>SUMSQ(F3:F8)/J12-K3</f>
        <v>148.875</v>
      </c>
      <c r="N4" s="91" t="s">
        <v>85</v>
      </c>
      <c r="O4" s="92">
        <f>G3</f>
        <v>6</v>
      </c>
      <c r="P4" s="76">
        <f>O4+J15</f>
        <v>6.7714434522374276</v>
      </c>
      <c r="Q4" t="s">
        <v>49</v>
      </c>
    </row>
    <row r="5" spans="1:17" ht="15.5" x14ac:dyDescent="0.35">
      <c r="A5" s="18" t="s">
        <v>6</v>
      </c>
      <c r="B5" s="15">
        <v>9</v>
      </c>
      <c r="C5" s="14">
        <v>8</v>
      </c>
      <c r="D5" s="15">
        <v>9</v>
      </c>
      <c r="E5" s="14">
        <v>8</v>
      </c>
      <c r="F5" s="2">
        <f t="shared" si="0"/>
        <v>34</v>
      </c>
      <c r="G5" s="22">
        <f t="shared" si="1"/>
        <v>8.5</v>
      </c>
      <c r="J5" s="66" t="s">
        <v>86</v>
      </c>
      <c r="K5" s="93">
        <f>SUMSQ(B3:E8)-K3</f>
        <v>155.625</v>
      </c>
      <c r="N5" s="91" t="s">
        <v>87</v>
      </c>
      <c r="O5" s="92">
        <f t="shared" ref="O5:O9" si="2">G4</f>
        <v>7.75</v>
      </c>
      <c r="P5" s="76">
        <f>O5+J15</f>
        <v>8.5214434522374276</v>
      </c>
      <c r="Q5" t="s">
        <v>62</v>
      </c>
    </row>
    <row r="6" spans="1:17" ht="15.5" x14ac:dyDescent="0.35">
      <c r="A6" s="18" t="s">
        <v>7</v>
      </c>
      <c r="B6" s="15">
        <v>11</v>
      </c>
      <c r="C6" s="14">
        <v>10</v>
      </c>
      <c r="D6" s="15">
        <v>11</v>
      </c>
      <c r="E6" s="14">
        <v>10</v>
      </c>
      <c r="F6" s="2">
        <f t="shared" si="0"/>
        <v>42</v>
      </c>
      <c r="G6" s="22">
        <f t="shared" si="1"/>
        <v>10.5</v>
      </c>
      <c r="J6" s="66" t="s">
        <v>88</v>
      </c>
      <c r="K6" s="93">
        <f>SUMSQ(B9:E9)/J11-K3</f>
        <v>4.125</v>
      </c>
      <c r="N6" s="91" t="s">
        <v>89</v>
      </c>
      <c r="O6" s="92">
        <f t="shared" si="2"/>
        <v>8.5</v>
      </c>
      <c r="P6" s="76"/>
      <c r="Q6" s="62" t="s">
        <v>62</v>
      </c>
    </row>
    <row r="7" spans="1:17" ht="15.5" x14ac:dyDescent="0.35">
      <c r="A7" s="18" t="s">
        <v>8</v>
      </c>
      <c r="B7" s="15">
        <v>12</v>
      </c>
      <c r="C7" s="14">
        <v>11</v>
      </c>
      <c r="D7" s="15">
        <v>12</v>
      </c>
      <c r="E7" s="14">
        <v>11</v>
      </c>
      <c r="F7" s="2">
        <f t="shared" si="0"/>
        <v>46</v>
      </c>
      <c r="G7" s="22">
        <f t="shared" si="1"/>
        <v>11.5</v>
      </c>
      <c r="J7" s="66" t="s">
        <v>43</v>
      </c>
      <c r="K7" s="94">
        <f>SQRT(D16)/G9*100</f>
        <v>1.1615937545453452</v>
      </c>
      <c r="N7" s="91" t="s">
        <v>90</v>
      </c>
      <c r="O7" s="92">
        <f t="shared" si="2"/>
        <v>10.5</v>
      </c>
      <c r="P7" s="76">
        <f>O7+J15</f>
        <v>11.271443452237428</v>
      </c>
      <c r="Q7" s="62" t="s">
        <v>64</v>
      </c>
    </row>
    <row r="8" spans="1:17" ht="16" thickBot="1" x14ac:dyDescent="0.4">
      <c r="A8" s="20" t="s">
        <v>9</v>
      </c>
      <c r="B8" s="17">
        <v>14</v>
      </c>
      <c r="C8" s="16">
        <v>13</v>
      </c>
      <c r="D8" s="17">
        <v>14</v>
      </c>
      <c r="E8" s="16">
        <v>13</v>
      </c>
      <c r="F8" s="3">
        <f t="shared" si="0"/>
        <v>54</v>
      </c>
      <c r="G8" s="23">
        <f t="shared" si="1"/>
        <v>13.5</v>
      </c>
      <c r="J8" s="66"/>
      <c r="K8" s="94"/>
      <c r="N8" s="91" t="s">
        <v>91</v>
      </c>
      <c r="O8" s="92">
        <f t="shared" si="2"/>
        <v>11.5</v>
      </c>
      <c r="P8" s="76">
        <f>O8+J15</f>
        <v>12.271443452237428</v>
      </c>
      <c r="Q8" t="s">
        <v>65</v>
      </c>
    </row>
    <row r="9" spans="1:17" ht="15.5" x14ac:dyDescent="0.35">
      <c r="A9" s="88" t="s">
        <v>13</v>
      </c>
      <c r="B9">
        <f>SUM(B3:B8)</f>
        <v>60</v>
      </c>
      <c r="C9">
        <f t="shared" ref="C9:G9" si="3">SUM(C3:C8)</f>
        <v>54</v>
      </c>
      <c r="D9">
        <f t="shared" si="3"/>
        <v>60</v>
      </c>
      <c r="E9">
        <f t="shared" si="3"/>
        <v>57</v>
      </c>
      <c r="F9">
        <f t="shared" si="3"/>
        <v>231</v>
      </c>
      <c r="G9">
        <f t="shared" si="3"/>
        <v>57.75</v>
      </c>
      <c r="J9" s="66"/>
      <c r="K9" s="95"/>
      <c r="N9" s="91" t="s">
        <v>92</v>
      </c>
      <c r="O9" s="92">
        <f t="shared" si="2"/>
        <v>13.5</v>
      </c>
      <c r="P9" s="76">
        <f>O9+J15</f>
        <v>14.271443452237428</v>
      </c>
      <c r="Q9" t="s">
        <v>70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4.125</v>
      </c>
      <c r="D14" s="76">
        <f>C14/B14</f>
        <v>1.375</v>
      </c>
      <c r="E14" s="76">
        <f>D14/D16</f>
        <v>3.0555555555555554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148.875</v>
      </c>
      <c r="D15" s="76">
        <f>C15/B15</f>
        <v>29.774999999999999</v>
      </c>
      <c r="E15" s="76">
        <f>D15/D16</f>
        <v>66.166666666666657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0.77144345223742739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6.75</v>
      </c>
      <c r="D16" s="83">
        <f>C16/B16</f>
        <v>0.45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155.625</v>
      </c>
      <c r="D17" s="83"/>
      <c r="E17" s="85"/>
      <c r="F17" s="86"/>
      <c r="G17" s="87"/>
      <c r="I17" s="79" t="s">
        <v>83</v>
      </c>
      <c r="J17" s="80">
        <f>SQRT(D16)/4</f>
        <v>0.16770509831248423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B118-4FF7-4FCD-8C63-24772700D226}">
  <dimension ref="A1:Q17"/>
  <sheetViews>
    <sheetView topLeftCell="A2"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11</v>
      </c>
      <c r="C3" s="12">
        <v>10</v>
      </c>
      <c r="D3" s="13">
        <v>11</v>
      </c>
      <c r="E3" s="12">
        <v>12</v>
      </c>
      <c r="F3" s="1">
        <f t="shared" ref="F3:F8" si="0">SUM(B3:E3)</f>
        <v>44</v>
      </c>
      <c r="G3" s="21">
        <f t="shared" ref="G3:G8" si="1">AVERAGE(B3:E3)</f>
        <v>11</v>
      </c>
      <c r="J3" s="66" t="s">
        <v>42</v>
      </c>
      <c r="K3" s="89">
        <f>F9^2/J13</f>
        <v>6048.375</v>
      </c>
    </row>
    <row r="4" spans="1:17" ht="15.5" x14ac:dyDescent="0.35">
      <c r="A4" s="18" t="s">
        <v>5</v>
      </c>
      <c r="B4" s="15">
        <v>13</v>
      </c>
      <c r="C4" s="14">
        <v>12</v>
      </c>
      <c r="D4" s="15">
        <v>13</v>
      </c>
      <c r="E4" s="14">
        <v>14</v>
      </c>
      <c r="F4" s="2">
        <f t="shared" si="0"/>
        <v>52</v>
      </c>
      <c r="G4" s="22">
        <f t="shared" si="1"/>
        <v>13</v>
      </c>
      <c r="J4" s="90" t="s">
        <v>84</v>
      </c>
      <c r="K4" s="76">
        <f>SUMSQ(F3:F8)/J12-K3</f>
        <v>266.875</v>
      </c>
      <c r="N4" s="91" t="s">
        <v>85</v>
      </c>
      <c r="O4" s="92">
        <f>G3</f>
        <v>11</v>
      </c>
      <c r="P4" s="76">
        <f>O4+J15</f>
        <v>11.927159641054333</v>
      </c>
      <c r="Q4" t="s">
        <v>49</v>
      </c>
    </row>
    <row r="5" spans="1:17" ht="15.5" x14ac:dyDescent="0.35">
      <c r="A5" s="18" t="s">
        <v>6</v>
      </c>
      <c r="B5" s="15">
        <v>15</v>
      </c>
      <c r="C5" s="14">
        <v>14</v>
      </c>
      <c r="D5" s="15">
        <v>16</v>
      </c>
      <c r="E5" s="14">
        <v>15</v>
      </c>
      <c r="F5" s="2">
        <f t="shared" si="0"/>
        <v>60</v>
      </c>
      <c r="G5" s="22">
        <f t="shared" si="1"/>
        <v>15</v>
      </c>
      <c r="J5" s="66" t="s">
        <v>86</v>
      </c>
      <c r="K5" s="93">
        <f>SUMSQ(B3:E8)-K3</f>
        <v>276.625</v>
      </c>
      <c r="N5" s="91" t="s">
        <v>87</v>
      </c>
      <c r="O5" s="92">
        <f t="shared" ref="O5:O9" si="2">G4</f>
        <v>13</v>
      </c>
      <c r="P5" s="76">
        <f>O5+J15</f>
        <v>13.927159641054333</v>
      </c>
      <c r="Q5" t="s">
        <v>62</v>
      </c>
    </row>
    <row r="6" spans="1:17" ht="15.5" x14ac:dyDescent="0.35">
      <c r="A6" s="18" t="s">
        <v>7</v>
      </c>
      <c r="B6" s="15">
        <v>17</v>
      </c>
      <c r="C6" s="14">
        <v>16</v>
      </c>
      <c r="D6" s="15">
        <v>17</v>
      </c>
      <c r="E6" s="14">
        <v>17</v>
      </c>
      <c r="F6" s="2">
        <f t="shared" si="0"/>
        <v>67</v>
      </c>
      <c r="G6" s="22">
        <f t="shared" si="1"/>
        <v>16.75</v>
      </c>
      <c r="J6" s="66" t="s">
        <v>88</v>
      </c>
      <c r="K6" s="93">
        <f>SUMSQ(B9:E9)/J11-K3</f>
        <v>6.4583333333330302</v>
      </c>
      <c r="N6" s="91" t="s">
        <v>89</v>
      </c>
      <c r="O6" s="92">
        <f t="shared" si="2"/>
        <v>15</v>
      </c>
      <c r="P6" s="76">
        <f>O6+J15</f>
        <v>15.927159641054333</v>
      </c>
      <c r="Q6" s="62" t="s">
        <v>64</v>
      </c>
    </row>
    <row r="7" spans="1:17" ht="15.5" x14ac:dyDescent="0.35">
      <c r="A7" s="18" t="s">
        <v>8</v>
      </c>
      <c r="B7" s="15">
        <v>19</v>
      </c>
      <c r="C7" s="14">
        <v>18</v>
      </c>
      <c r="D7" s="15">
        <v>19</v>
      </c>
      <c r="E7" s="14">
        <v>18</v>
      </c>
      <c r="F7" s="2">
        <f t="shared" si="0"/>
        <v>74</v>
      </c>
      <c r="G7" s="22">
        <f t="shared" si="1"/>
        <v>18.5</v>
      </c>
      <c r="J7" s="66" t="s">
        <v>43</v>
      </c>
      <c r="K7" s="94">
        <f>SQRT(D16)/G9*100</f>
        <v>0.84643125966388977</v>
      </c>
      <c r="N7" s="91" t="s">
        <v>90</v>
      </c>
      <c r="O7" s="92">
        <f t="shared" si="2"/>
        <v>16.75</v>
      </c>
      <c r="P7" s="76">
        <f>O7+J15</f>
        <v>17.677159641054335</v>
      </c>
      <c r="Q7" s="62" t="s">
        <v>65</v>
      </c>
    </row>
    <row r="8" spans="1:17" ht="16" thickBot="1" x14ac:dyDescent="0.4">
      <c r="A8" s="20" t="s">
        <v>9</v>
      </c>
      <c r="B8" s="17">
        <v>21</v>
      </c>
      <c r="C8" s="16">
        <v>20</v>
      </c>
      <c r="D8" s="17">
        <v>21</v>
      </c>
      <c r="E8" s="16">
        <v>22</v>
      </c>
      <c r="F8" s="3">
        <f t="shared" si="0"/>
        <v>84</v>
      </c>
      <c r="G8" s="23">
        <f t="shared" si="1"/>
        <v>21</v>
      </c>
      <c r="J8" s="66"/>
      <c r="K8" s="94"/>
      <c r="N8" s="91" t="s">
        <v>91</v>
      </c>
      <c r="O8" s="92">
        <f t="shared" si="2"/>
        <v>18.5</v>
      </c>
      <c r="P8" s="76">
        <f>O8+J15</f>
        <v>19.427159641054335</v>
      </c>
      <c r="Q8" t="s">
        <v>70</v>
      </c>
    </row>
    <row r="9" spans="1:17" ht="15.5" x14ac:dyDescent="0.35">
      <c r="A9" s="88" t="s">
        <v>13</v>
      </c>
      <c r="B9">
        <f>SUM(B3:B8)</f>
        <v>96</v>
      </c>
      <c r="C9">
        <f t="shared" ref="C9:G9" si="3">SUM(C3:C8)</f>
        <v>90</v>
      </c>
      <c r="D9">
        <f t="shared" si="3"/>
        <v>97</v>
      </c>
      <c r="E9">
        <f t="shared" si="3"/>
        <v>98</v>
      </c>
      <c r="F9">
        <f t="shared" si="3"/>
        <v>381</v>
      </c>
      <c r="G9">
        <f t="shared" si="3"/>
        <v>95.25</v>
      </c>
      <c r="J9" s="66"/>
      <c r="K9" s="95"/>
      <c r="N9" s="91" t="s">
        <v>92</v>
      </c>
      <c r="O9" s="92">
        <f t="shared" si="2"/>
        <v>21</v>
      </c>
      <c r="P9" s="76">
        <f>O9+J15</f>
        <v>21.927159641054335</v>
      </c>
      <c r="Q9" t="s">
        <v>71</v>
      </c>
    </row>
    <row r="10" spans="1:17" ht="15.5" x14ac:dyDescent="0.35">
      <c r="A10" s="131" t="s">
        <v>4</v>
      </c>
      <c r="B10">
        <f>AVERAGE(B3:B8)</f>
        <v>16</v>
      </c>
      <c r="C10">
        <f t="shared" ref="C10:E10" si="4">AVERAGE(C3:C8)</f>
        <v>15</v>
      </c>
      <c r="D10">
        <f t="shared" si="4"/>
        <v>16.166666666666668</v>
      </c>
      <c r="E10">
        <f t="shared" si="4"/>
        <v>16.333333333333332</v>
      </c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 t="s">
        <v>80</v>
      </c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6.4583333333330302</v>
      </c>
      <c r="D14" s="76">
        <f>C14/B14</f>
        <v>2.1527777777776769</v>
      </c>
      <c r="E14" s="76">
        <f>D14/D16</f>
        <v>3.3119658119656568</v>
      </c>
      <c r="F14" s="76">
        <v>3.29</v>
      </c>
      <c r="G14" s="76">
        <v>5.42</v>
      </c>
      <c r="H14" s="77" t="s">
        <v>93</v>
      </c>
      <c r="K14" s="78"/>
      <c r="L14" s="68"/>
      <c r="M14" s="69"/>
      <c r="N14" s="69">
        <v>2</v>
      </c>
      <c r="O14" s="69">
        <v>15</v>
      </c>
      <c r="P14" s="69">
        <f>O14+J15</f>
        <v>15.927159641054333</v>
      </c>
      <c r="Q14" t="s">
        <v>49</v>
      </c>
    </row>
    <row r="15" spans="1:17" ht="15.5" x14ac:dyDescent="0.35">
      <c r="A15" s="74" t="s">
        <v>46</v>
      </c>
      <c r="B15" s="74">
        <f>6-1</f>
        <v>5</v>
      </c>
      <c r="C15" s="75">
        <f>K4</f>
        <v>266.875</v>
      </c>
      <c r="D15" s="76">
        <f>C15/B15</f>
        <v>53.375</v>
      </c>
      <c r="E15" s="76">
        <f>D15/D16</f>
        <v>82.115384615384613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0.92715964105433324</v>
      </c>
      <c r="K15" s="78"/>
      <c r="L15" s="68"/>
      <c r="M15" s="69"/>
      <c r="N15" s="69">
        <v>1</v>
      </c>
      <c r="O15" s="69">
        <v>16</v>
      </c>
      <c r="P15" s="69">
        <f>O15+J15</f>
        <v>16.927159641054335</v>
      </c>
      <c r="Q15" t="s">
        <v>62</v>
      </c>
    </row>
    <row r="16" spans="1:17" ht="15.5" x14ac:dyDescent="0.35">
      <c r="A16" s="81" t="s">
        <v>37</v>
      </c>
      <c r="B16" s="81">
        <f>B14*B15</f>
        <v>15</v>
      </c>
      <c r="C16" s="82">
        <f>C17-C15</f>
        <v>9.75</v>
      </c>
      <c r="D16" s="83">
        <f>C16/B16</f>
        <v>0.65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>
        <v>3</v>
      </c>
      <c r="O16">
        <v>16.166666666666668</v>
      </c>
      <c r="P16" s="69"/>
      <c r="Q16" t="s">
        <v>62</v>
      </c>
    </row>
    <row r="17" spans="1:17" ht="15.5" x14ac:dyDescent="0.35">
      <c r="A17" s="81" t="s">
        <v>13</v>
      </c>
      <c r="B17" s="81">
        <f>SUM(B14:B16)</f>
        <v>23</v>
      </c>
      <c r="C17" s="82">
        <f>K5</f>
        <v>276.625</v>
      </c>
      <c r="D17" s="83"/>
      <c r="E17" s="85"/>
      <c r="F17" s="86"/>
      <c r="G17" s="87"/>
      <c r="I17" s="79" t="s">
        <v>83</v>
      </c>
      <c r="J17" s="80">
        <f>SQRT(D16)/4</f>
        <v>0.20155644370746376</v>
      </c>
      <c r="L17" s="68"/>
      <c r="M17" s="69"/>
      <c r="N17" s="69">
        <v>4</v>
      </c>
      <c r="O17">
        <v>16.333333333333332</v>
      </c>
      <c r="P17" s="69"/>
      <c r="Q17" t="s">
        <v>62</v>
      </c>
    </row>
  </sheetData>
  <sortState xmlns:xlrd2="http://schemas.microsoft.com/office/spreadsheetml/2017/richdata2" ref="N14:O17">
    <sortCondition ref="O14:O17"/>
  </sortState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70C4-86B4-4805-82BB-A76B7D8AA80B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19</v>
      </c>
      <c r="C3" s="12">
        <v>18</v>
      </c>
      <c r="D3" s="13">
        <v>18</v>
      </c>
      <c r="E3" s="12">
        <v>19</v>
      </c>
      <c r="F3" s="1">
        <f t="shared" ref="F3:F8" si="0">SUM(B3:E3)</f>
        <v>74</v>
      </c>
      <c r="G3" s="21">
        <f t="shared" ref="G3:G8" si="1">AVERAGE(B3:E3)</f>
        <v>18.5</v>
      </c>
      <c r="J3" s="66" t="s">
        <v>42</v>
      </c>
      <c r="K3" s="89">
        <f>F9^2/J13</f>
        <v>15555.041666666666</v>
      </c>
    </row>
    <row r="4" spans="1:17" ht="15.5" x14ac:dyDescent="0.35">
      <c r="A4" s="18" t="s">
        <v>5</v>
      </c>
      <c r="B4" s="15">
        <v>21</v>
      </c>
      <c r="C4" s="14">
        <v>22</v>
      </c>
      <c r="D4" s="15">
        <v>21</v>
      </c>
      <c r="E4" s="14">
        <v>22</v>
      </c>
      <c r="F4" s="2">
        <f t="shared" si="0"/>
        <v>86</v>
      </c>
      <c r="G4" s="22">
        <f t="shared" si="1"/>
        <v>21.5</v>
      </c>
      <c r="J4" s="90" t="s">
        <v>84</v>
      </c>
      <c r="K4" s="76">
        <f>SUMSQ(F3:F8)/J12-K3</f>
        <v>559.20833333333394</v>
      </c>
      <c r="N4" s="91" t="s">
        <v>85</v>
      </c>
      <c r="O4" s="92">
        <f>G3</f>
        <v>18.5</v>
      </c>
      <c r="P4" s="76">
        <f>O4+J15</f>
        <v>19.271443452237428</v>
      </c>
      <c r="Q4" t="s">
        <v>49</v>
      </c>
    </row>
    <row r="5" spans="1:17" ht="15.5" x14ac:dyDescent="0.35">
      <c r="A5" s="18" t="s">
        <v>6</v>
      </c>
      <c r="B5" s="15">
        <v>23</v>
      </c>
      <c r="C5" s="14">
        <v>24</v>
      </c>
      <c r="D5" s="15">
        <v>23</v>
      </c>
      <c r="E5" s="14">
        <v>24</v>
      </c>
      <c r="F5" s="2">
        <f t="shared" si="0"/>
        <v>94</v>
      </c>
      <c r="G5" s="22">
        <f t="shared" si="1"/>
        <v>23.5</v>
      </c>
      <c r="J5" s="66" t="s">
        <v>86</v>
      </c>
      <c r="K5" s="93">
        <f>SUMSQ(B3:E8)-K3</f>
        <v>565.95833333333394</v>
      </c>
      <c r="N5" s="91" t="s">
        <v>87</v>
      </c>
      <c r="O5" s="92">
        <f t="shared" ref="O5:O9" si="2">G4</f>
        <v>21.5</v>
      </c>
      <c r="P5" s="76">
        <f>O5+J15</f>
        <v>22.271443452237428</v>
      </c>
      <c r="Q5" t="s">
        <v>62</v>
      </c>
    </row>
    <row r="6" spans="1:17" ht="15.5" x14ac:dyDescent="0.35">
      <c r="A6" s="18" t="s">
        <v>7</v>
      </c>
      <c r="B6" s="15">
        <v>26</v>
      </c>
      <c r="C6" s="14">
        <v>28</v>
      </c>
      <c r="D6" s="15">
        <v>27</v>
      </c>
      <c r="E6" s="14">
        <v>27</v>
      </c>
      <c r="F6" s="2">
        <f t="shared" si="0"/>
        <v>108</v>
      </c>
      <c r="G6" s="22">
        <f t="shared" si="1"/>
        <v>27</v>
      </c>
      <c r="J6" s="66" t="s">
        <v>88</v>
      </c>
      <c r="K6" s="93">
        <f>SUMSQ(B9:E9)/J11-K3</f>
        <v>3.4583333333339397</v>
      </c>
      <c r="N6" s="91" t="s">
        <v>89</v>
      </c>
      <c r="O6" s="92">
        <f t="shared" si="2"/>
        <v>23.5</v>
      </c>
      <c r="P6" s="76">
        <f>O6+J15</f>
        <v>24.271443452237428</v>
      </c>
      <c r="Q6" s="62" t="s">
        <v>64</v>
      </c>
    </row>
    <row r="7" spans="1:17" ht="15.5" x14ac:dyDescent="0.35">
      <c r="A7" s="18" t="s">
        <v>8</v>
      </c>
      <c r="B7" s="15">
        <v>29</v>
      </c>
      <c r="C7" s="14">
        <v>30</v>
      </c>
      <c r="D7" s="15">
        <v>29</v>
      </c>
      <c r="E7" s="14">
        <v>30</v>
      </c>
      <c r="F7" s="2">
        <f t="shared" si="0"/>
        <v>118</v>
      </c>
      <c r="G7" s="22">
        <f t="shared" si="1"/>
        <v>29.5</v>
      </c>
      <c r="J7" s="66" t="s">
        <v>43</v>
      </c>
      <c r="K7" s="94">
        <f>SQRT(D16)/G9*100</f>
        <v>0.43916228690666903</v>
      </c>
      <c r="N7" s="91" t="s">
        <v>90</v>
      </c>
      <c r="O7" s="92">
        <f t="shared" si="2"/>
        <v>27</v>
      </c>
      <c r="P7" s="76">
        <f>O7+J15</f>
        <v>27.771443452237428</v>
      </c>
      <c r="Q7" s="62" t="s">
        <v>65</v>
      </c>
    </row>
    <row r="8" spans="1:17" ht="16" thickBot="1" x14ac:dyDescent="0.4">
      <c r="A8" s="20" t="s">
        <v>9</v>
      </c>
      <c r="B8" s="17">
        <v>32</v>
      </c>
      <c r="C8" s="16">
        <v>33</v>
      </c>
      <c r="D8" s="17">
        <v>33</v>
      </c>
      <c r="E8" s="16">
        <v>33</v>
      </c>
      <c r="F8" s="3">
        <f t="shared" si="0"/>
        <v>131</v>
      </c>
      <c r="G8" s="23">
        <f t="shared" si="1"/>
        <v>32.75</v>
      </c>
      <c r="J8" s="66"/>
      <c r="K8" s="94"/>
      <c r="N8" s="91" t="s">
        <v>91</v>
      </c>
      <c r="O8" s="92">
        <f t="shared" si="2"/>
        <v>29.5</v>
      </c>
      <c r="P8" s="76">
        <f>O8+J15</f>
        <v>30.271443452237428</v>
      </c>
      <c r="Q8" t="s">
        <v>70</v>
      </c>
    </row>
    <row r="9" spans="1:17" ht="15.5" x14ac:dyDescent="0.35">
      <c r="A9" s="88" t="s">
        <v>13</v>
      </c>
      <c r="B9">
        <f>SUM(B3:B8)</f>
        <v>150</v>
      </c>
      <c r="C9">
        <f t="shared" ref="C9:G9" si="3">SUM(C3:C8)</f>
        <v>155</v>
      </c>
      <c r="D9">
        <f t="shared" si="3"/>
        <v>151</v>
      </c>
      <c r="E9">
        <f t="shared" si="3"/>
        <v>155</v>
      </c>
      <c r="F9">
        <f t="shared" si="3"/>
        <v>611</v>
      </c>
      <c r="G9">
        <f t="shared" si="3"/>
        <v>152.75</v>
      </c>
      <c r="J9" s="66"/>
      <c r="K9" s="95"/>
      <c r="N9" s="91" t="s">
        <v>92</v>
      </c>
      <c r="O9" s="92">
        <f t="shared" si="2"/>
        <v>32.75</v>
      </c>
      <c r="P9" s="76">
        <f>O9+J15</f>
        <v>33.521443452237428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3.4583333333339397</v>
      </c>
      <c r="D14" s="76">
        <f>C14/B14</f>
        <v>1.15277777777798</v>
      </c>
      <c r="E14" s="76">
        <f>D14/D16</f>
        <v>2.5617283950621776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559.20833333333394</v>
      </c>
      <c r="D15" s="76">
        <f>C15/B15</f>
        <v>111.84166666666678</v>
      </c>
      <c r="E15" s="76">
        <f>D15/D16</f>
        <v>248.53703703703729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0.77144345223742739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6.75</v>
      </c>
      <c r="D16" s="83">
        <f>C16/B16</f>
        <v>0.45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565.95833333333394</v>
      </c>
      <c r="D17" s="83"/>
      <c r="E17" s="85"/>
      <c r="F17" s="86"/>
      <c r="G17" s="87"/>
      <c r="I17" s="79" t="s">
        <v>83</v>
      </c>
      <c r="J17" s="80">
        <f>SQRT(D16)/4</f>
        <v>0.16770509831248423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0F03-5AE0-4AB6-AE59-487DD324AF90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26</v>
      </c>
      <c r="C3" s="12">
        <v>25</v>
      </c>
      <c r="D3" s="13">
        <v>26</v>
      </c>
      <c r="E3" s="12">
        <v>27</v>
      </c>
      <c r="F3" s="1">
        <f t="shared" ref="F3:F8" si="0">SUM(B3:E3)</f>
        <v>104</v>
      </c>
      <c r="G3" s="21">
        <f t="shared" ref="G3:G8" si="1">AVERAGE(B3:E3)</f>
        <v>26</v>
      </c>
      <c r="J3" s="66" t="s">
        <v>42</v>
      </c>
      <c r="K3" s="89">
        <f>F9^2/J13</f>
        <v>27001.041666666668</v>
      </c>
    </row>
    <row r="4" spans="1:17" ht="15.5" x14ac:dyDescent="0.35">
      <c r="A4" s="18" t="s">
        <v>5</v>
      </c>
      <c r="B4" s="15">
        <v>29</v>
      </c>
      <c r="C4" s="14">
        <v>28</v>
      </c>
      <c r="D4" s="15">
        <v>29</v>
      </c>
      <c r="E4" s="14">
        <v>29</v>
      </c>
      <c r="F4" s="2">
        <f t="shared" si="0"/>
        <v>115</v>
      </c>
      <c r="G4" s="22">
        <f t="shared" si="1"/>
        <v>28.75</v>
      </c>
      <c r="J4" s="90" t="s">
        <v>84</v>
      </c>
      <c r="K4" s="76">
        <f>SUMSQ(F3:F8)/J12-K3</f>
        <v>698.70833333333212</v>
      </c>
      <c r="N4" s="91" t="s">
        <v>85</v>
      </c>
      <c r="O4" s="92">
        <f>G3</f>
        <v>26</v>
      </c>
      <c r="P4" s="76">
        <f>O4+J15</f>
        <v>26.903073455853214</v>
      </c>
      <c r="Q4" t="s">
        <v>49</v>
      </c>
    </row>
    <row r="5" spans="1:17" ht="15.5" x14ac:dyDescent="0.35">
      <c r="A5" s="18" t="s">
        <v>6</v>
      </c>
      <c r="B5" s="15">
        <v>32</v>
      </c>
      <c r="C5" s="14">
        <v>31</v>
      </c>
      <c r="D5" s="15">
        <v>32</v>
      </c>
      <c r="E5" s="14">
        <v>33</v>
      </c>
      <c r="F5" s="2">
        <f t="shared" si="0"/>
        <v>128</v>
      </c>
      <c r="G5" s="22">
        <f t="shared" si="1"/>
        <v>32</v>
      </c>
      <c r="J5" s="66" t="s">
        <v>86</v>
      </c>
      <c r="K5" s="93">
        <f>SUMSQ(B3:E8)-K3</f>
        <v>707.95833333333212</v>
      </c>
      <c r="N5" s="91" t="s">
        <v>87</v>
      </c>
      <c r="O5" s="92">
        <f t="shared" ref="O5:O9" si="2">G4</f>
        <v>28.75</v>
      </c>
      <c r="P5" s="76">
        <f>O5+J15</f>
        <v>29.653073455853214</v>
      </c>
      <c r="Q5" t="s">
        <v>62</v>
      </c>
    </row>
    <row r="6" spans="1:17" ht="15.5" x14ac:dyDescent="0.35">
      <c r="A6" s="18" t="s">
        <v>7</v>
      </c>
      <c r="B6" s="15">
        <v>34</v>
      </c>
      <c r="C6" s="14">
        <v>33</v>
      </c>
      <c r="D6" s="15">
        <v>35</v>
      </c>
      <c r="E6" s="14">
        <v>35</v>
      </c>
      <c r="F6" s="2">
        <f t="shared" si="0"/>
        <v>137</v>
      </c>
      <c r="G6" s="22">
        <f t="shared" si="1"/>
        <v>34.25</v>
      </c>
      <c r="J6" s="66" t="s">
        <v>88</v>
      </c>
      <c r="K6" s="93">
        <f>SUMSQ(B9:E9)/J11-K3</f>
        <v>4.4583333333321207</v>
      </c>
      <c r="N6" s="91" t="s">
        <v>89</v>
      </c>
      <c r="O6" s="92">
        <f t="shared" si="2"/>
        <v>32</v>
      </c>
      <c r="P6" s="76">
        <f>O6+J15</f>
        <v>32.903073455853217</v>
      </c>
      <c r="Q6" s="62" t="s">
        <v>64</v>
      </c>
    </row>
    <row r="7" spans="1:17" ht="15.5" x14ac:dyDescent="0.35">
      <c r="A7" s="18" t="s">
        <v>8</v>
      </c>
      <c r="B7" s="15">
        <v>38</v>
      </c>
      <c r="C7" s="14">
        <v>39</v>
      </c>
      <c r="D7" s="15">
        <v>38</v>
      </c>
      <c r="E7" s="14">
        <v>39</v>
      </c>
      <c r="F7" s="2">
        <f t="shared" si="0"/>
        <v>154</v>
      </c>
      <c r="G7" s="22">
        <f t="shared" si="1"/>
        <v>38.5</v>
      </c>
      <c r="J7" s="66" t="s">
        <v>43</v>
      </c>
      <c r="K7" s="94">
        <f>SQRT(D16)/G9*100</f>
        <v>0.39020187128413236</v>
      </c>
      <c r="N7" s="91" t="s">
        <v>90</v>
      </c>
      <c r="O7" s="92">
        <f t="shared" si="2"/>
        <v>34.25</v>
      </c>
      <c r="P7" s="76">
        <f>O7+J15</f>
        <v>35.153073455853217</v>
      </c>
      <c r="Q7" s="62" t="s">
        <v>65</v>
      </c>
    </row>
    <row r="8" spans="1:17" ht="16" thickBot="1" x14ac:dyDescent="0.4">
      <c r="A8" s="20" t="s">
        <v>9</v>
      </c>
      <c r="B8" s="17">
        <v>41</v>
      </c>
      <c r="C8" s="16">
        <v>42</v>
      </c>
      <c r="D8" s="17">
        <v>42</v>
      </c>
      <c r="E8" s="16">
        <v>42</v>
      </c>
      <c r="F8" s="3">
        <f t="shared" si="0"/>
        <v>167</v>
      </c>
      <c r="G8" s="23">
        <f t="shared" si="1"/>
        <v>41.75</v>
      </c>
      <c r="J8" s="66"/>
      <c r="K8" s="94"/>
      <c r="N8" s="91" t="s">
        <v>91</v>
      </c>
      <c r="O8" s="92">
        <f t="shared" si="2"/>
        <v>38.5</v>
      </c>
      <c r="P8" s="76">
        <f>O8+J15</f>
        <v>39.403073455853217</v>
      </c>
      <c r="Q8" t="s">
        <v>70</v>
      </c>
    </row>
    <row r="9" spans="1:17" ht="15.5" x14ac:dyDescent="0.35">
      <c r="A9" s="88" t="s">
        <v>13</v>
      </c>
      <c r="B9">
        <f>SUM(B3:B8)</f>
        <v>200</v>
      </c>
      <c r="C9">
        <f t="shared" ref="C9:G9" si="3">SUM(C3:C8)</f>
        <v>198</v>
      </c>
      <c r="D9">
        <f t="shared" si="3"/>
        <v>202</v>
      </c>
      <c r="E9">
        <f t="shared" si="3"/>
        <v>205</v>
      </c>
      <c r="F9">
        <f t="shared" si="3"/>
        <v>805</v>
      </c>
      <c r="G9">
        <f t="shared" si="3"/>
        <v>201.25</v>
      </c>
      <c r="J9" s="66"/>
      <c r="K9" s="95"/>
      <c r="N9" s="91" t="s">
        <v>92</v>
      </c>
      <c r="O9" s="92">
        <f t="shared" si="2"/>
        <v>41.75</v>
      </c>
      <c r="P9" s="76">
        <f>O9+J15</f>
        <v>42.653073455853217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4.4583333333321207</v>
      </c>
      <c r="D14" s="76">
        <f>C14/B14</f>
        <v>1.4861111111107068</v>
      </c>
      <c r="E14" s="76">
        <f>D14/D16</f>
        <v>2.409909909909254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698.70833333333212</v>
      </c>
      <c r="D15" s="76">
        <f>C15/B15</f>
        <v>139.74166666666642</v>
      </c>
      <c r="E15" s="76">
        <f>D15/D16</f>
        <v>226.6081081081077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0.90307345585321386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9.25</v>
      </c>
      <c r="D16" s="83">
        <f>C16/B16</f>
        <v>0.6166666666666667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707.95833333333212</v>
      </c>
      <c r="D17" s="83"/>
      <c r="E17" s="85"/>
      <c r="F17" s="86"/>
      <c r="G17" s="87"/>
      <c r="I17" s="79" t="s">
        <v>83</v>
      </c>
      <c r="J17" s="80">
        <f>SQRT(D16)/4</f>
        <v>0.19632031648982912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EB46-678F-4A71-8BCD-D175D803C60D}">
  <dimension ref="A1:Q17"/>
  <sheetViews>
    <sheetView workbookViewId="0">
      <selection activeCell="Q17" sqref="Q17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33</v>
      </c>
      <c r="C3" s="12">
        <v>32</v>
      </c>
      <c r="D3" s="13">
        <v>33</v>
      </c>
      <c r="E3" s="12">
        <v>33</v>
      </c>
      <c r="F3" s="1">
        <f t="shared" ref="F3:F8" si="0">SUM(B3:E3)</f>
        <v>131</v>
      </c>
      <c r="G3" s="21">
        <f t="shared" ref="G3:G8" si="1">AVERAGE(B3:E3)</f>
        <v>32.75</v>
      </c>
      <c r="J3" s="66" t="s">
        <v>42</v>
      </c>
      <c r="K3" s="89">
        <f>F9^2/J13</f>
        <v>40098.375</v>
      </c>
    </row>
    <row r="4" spans="1:17" ht="15.5" x14ac:dyDescent="0.35">
      <c r="A4" s="18" t="s">
        <v>5</v>
      </c>
      <c r="B4" s="15">
        <v>36</v>
      </c>
      <c r="C4" s="14">
        <v>35</v>
      </c>
      <c r="D4" s="15">
        <v>36</v>
      </c>
      <c r="E4" s="14">
        <v>36</v>
      </c>
      <c r="F4" s="2">
        <f t="shared" si="0"/>
        <v>143</v>
      </c>
      <c r="G4" s="22">
        <f t="shared" si="1"/>
        <v>35.75</v>
      </c>
      <c r="J4" s="90" t="s">
        <v>84</v>
      </c>
      <c r="K4" s="76">
        <f>SUMSQ(F3:F8)/J12-K3</f>
        <v>834.875</v>
      </c>
      <c r="N4" s="91" t="s">
        <v>85</v>
      </c>
      <c r="O4" s="92">
        <f>G3</f>
        <v>32.75</v>
      </c>
      <c r="P4" s="76">
        <f>O4+J15</f>
        <v>33.576614581692503</v>
      </c>
      <c r="Q4" t="s">
        <v>49</v>
      </c>
    </row>
    <row r="5" spans="1:17" ht="15.5" x14ac:dyDescent="0.35">
      <c r="A5" s="18" t="s">
        <v>6</v>
      </c>
      <c r="B5" s="15">
        <v>38</v>
      </c>
      <c r="C5" s="14">
        <v>37</v>
      </c>
      <c r="D5" s="15">
        <v>39</v>
      </c>
      <c r="E5" s="14">
        <v>38</v>
      </c>
      <c r="F5" s="2">
        <f t="shared" si="0"/>
        <v>152</v>
      </c>
      <c r="G5" s="22">
        <f t="shared" si="1"/>
        <v>38</v>
      </c>
      <c r="J5" s="66" t="s">
        <v>86</v>
      </c>
      <c r="K5" s="93">
        <f>SUMSQ(B3:E8)-K3</f>
        <v>842.625</v>
      </c>
      <c r="N5" s="91" t="s">
        <v>87</v>
      </c>
      <c r="O5" s="92">
        <f t="shared" ref="O5:O9" si="2">G4</f>
        <v>35.75</v>
      </c>
      <c r="P5" s="76">
        <f>O5+J15</f>
        <v>36.576614581692503</v>
      </c>
      <c r="Q5" t="s">
        <v>62</v>
      </c>
    </row>
    <row r="6" spans="1:17" ht="15.5" x14ac:dyDescent="0.35">
      <c r="A6" s="18" t="s">
        <v>7</v>
      </c>
      <c r="B6" s="15">
        <v>43</v>
      </c>
      <c r="C6" s="14">
        <v>42</v>
      </c>
      <c r="D6" s="15">
        <v>43</v>
      </c>
      <c r="E6" s="14">
        <v>43</v>
      </c>
      <c r="F6" s="2">
        <f t="shared" si="0"/>
        <v>171</v>
      </c>
      <c r="G6" s="22">
        <f t="shared" si="1"/>
        <v>42.75</v>
      </c>
      <c r="J6" s="66" t="s">
        <v>88</v>
      </c>
      <c r="K6" s="93">
        <f>SUMSQ(B9:E9)/J11-K3</f>
        <v>6.4583333333357587</v>
      </c>
      <c r="N6" s="91" t="s">
        <v>89</v>
      </c>
      <c r="O6" s="92">
        <f t="shared" si="2"/>
        <v>38</v>
      </c>
      <c r="P6" s="76">
        <f>O6+J15</f>
        <v>38.826614581692503</v>
      </c>
      <c r="Q6" s="62" t="s">
        <v>64</v>
      </c>
    </row>
    <row r="7" spans="1:17" ht="15.5" x14ac:dyDescent="0.35">
      <c r="A7" s="18" t="s">
        <v>8</v>
      </c>
      <c r="B7" s="15">
        <v>47</v>
      </c>
      <c r="C7" s="14">
        <v>46</v>
      </c>
      <c r="D7" s="15">
        <v>47</v>
      </c>
      <c r="E7" s="14">
        <v>47</v>
      </c>
      <c r="F7" s="2">
        <f t="shared" si="0"/>
        <v>187</v>
      </c>
      <c r="G7" s="22">
        <f t="shared" si="1"/>
        <v>46.75</v>
      </c>
      <c r="J7" s="66" t="s">
        <v>43</v>
      </c>
      <c r="K7" s="94">
        <f>SQRT(D16)/G9*100</f>
        <v>0.29308676388512167</v>
      </c>
      <c r="N7" s="91" t="s">
        <v>90</v>
      </c>
      <c r="O7" s="92">
        <f t="shared" si="2"/>
        <v>42.75</v>
      </c>
      <c r="P7" s="76">
        <f>O7+J15</f>
        <v>43.576614581692503</v>
      </c>
      <c r="Q7" s="62" t="s">
        <v>65</v>
      </c>
    </row>
    <row r="8" spans="1:17" ht="16" thickBot="1" x14ac:dyDescent="0.4">
      <c r="A8" s="20" t="s">
        <v>9</v>
      </c>
      <c r="B8" s="17">
        <v>49</v>
      </c>
      <c r="C8" s="16">
        <v>48</v>
      </c>
      <c r="D8" s="17">
        <v>50</v>
      </c>
      <c r="E8" s="16">
        <v>50</v>
      </c>
      <c r="F8" s="3">
        <f t="shared" si="0"/>
        <v>197</v>
      </c>
      <c r="G8" s="23">
        <f t="shared" si="1"/>
        <v>49.25</v>
      </c>
      <c r="J8" s="66"/>
      <c r="K8" s="94"/>
      <c r="N8" s="91" t="s">
        <v>91</v>
      </c>
      <c r="O8" s="92">
        <f t="shared" si="2"/>
        <v>46.75</v>
      </c>
      <c r="P8" s="76">
        <f>O8+J15</f>
        <v>47.576614581692503</v>
      </c>
      <c r="Q8" t="s">
        <v>70</v>
      </c>
    </row>
    <row r="9" spans="1:17" ht="15.5" x14ac:dyDescent="0.35">
      <c r="A9" s="88" t="s">
        <v>13</v>
      </c>
      <c r="B9">
        <f>SUM(B3:B8)</f>
        <v>246</v>
      </c>
      <c r="C9">
        <f t="shared" ref="C9:G9" si="3">SUM(C3:C8)</f>
        <v>240</v>
      </c>
      <c r="D9">
        <f t="shared" si="3"/>
        <v>248</v>
      </c>
      <c r="E9">
        <f t="shared" si="3"/>
        <v>247</v>
      </c>
      <c r="F9">
        <f t="shared" si="3"/>
        <v>981</v>
      </c>
      <c r="G9">
        <f t="shared" si="3"/>
        <v>245.25</v>
      </c>
      <c r="J9" s="66"/>
      <c r="K9" s="95"/>
      <c r="N9" s="91" t="s">
        <v>92</v>
      </c>
      <c r="O9" s="92">
        <f t="shared" si="2"/>
        <v>49.25</v>
      </c>
      <c r="P9" s="76">
        <f>O9+J15</f>
        <v>50.076614581692503</v>
      </c>
      <c r="Q9" t="s">
        <v>71</v>
      </c>
    </row>
    <row r="10" spans="1:17" ht="15.5" x14ac:dyDescent="0.35">
      <c r="A10" s="131" t="s">
        <v>4</v>
      </c>
      <c r="B10">
        <f>AVERAGE(B3:B8)</f>
        <v>41</v>
      </c>
      <c r="C10">
        <f t="shared" ref="C10:E10" si="4">AVERAGE(C3:C8)</f>
        <v>40</v>
      </c>
      <c r="D10">
        <f t="shared" si="4"/>
        <v>41.333333333333336</v>
      </c>
      <c r="E10">
        <f t="shared" si="4"/>
        <v>41.166666666666664</v>
      </c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 t="s">
        <v>80</v>
      </c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>
        <v>2</v>
      </c>
      <c r="O13" s="69">
        <v>40</v>
      </c>
      <c r="P13" s="69">
        <f>O13+J15</f>
        <v>40.826614581692503</v>
      </c>
      <c r="Q13" t="s">
        <v>49</v>
      </c>
    </row>
    <row r="14" spans="1:17" ht="15.5" x14ac:dyDescent="0.35">
      <c r="A14" s="74" t="s">
        <v>80</v>
      </c>
      <c r="B14" s="74">
        <f>4-1</f>
        <v>3</v>
      </c>
      <c r="C14" s="75">
        <f>K6</f>
        <v>6.4583333333357587</v>
      </c>
      <c r="D14" s="76">
        <f>C14/B14</f>
        <v>2.1527777777785864</v>
      </c>
      <c r="E14" s="76">
        <f>D14/D16</f>
        <v>4.166666666668231</v>
      </c>
      <c r="F14" s="76">
        <v>3.29</v>
      </c>
      <c r="G14" s="76">
        <v>5.42</v>
      </c>
      <c r="H14" s="77" t="s">
        <v>93</v>
      </c>
      <c r="K14" s="78"/>
      <c r="L14" s="68"/>
      <c r="M14" s="69"/>
      <c r="N14" s="69">
        <v>1</v>
      </c>
      <c r="O14" s="69">
        <v>41</v>
      </c>
      <c r="P14" s="69">
        <f>O14+J15</f>
        <v>41.826614581692503</v>
      </c>
      <c r="Q14" t="s">
        <v>62</v>
      </c>
    </row>
    <row r="15" spans="1:17" ht="15.5" x14ac:dyDescent="0.35">
      <c r="A15" s="74" t="s">
        <v>46</v>
      </c>
      <c r="B15" s="74">
        <f>6-1</f>
        <v>5</v>
      </c>
      <c r="C15" s="75">
        <f>K4</f>
        <v>834.875</v>
      </c>
      <c r="D15" s="76">
        <f>C15/B15</f>
        <v>166.97499999999999</v>
      </c>
      <c r="E15" s="76">
        <f>D15/D16</f>
        <v>323.17741935483866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0.82661458169250002</v>
      </c>
      <c r="K15" s="78"/>
      <c r="L15" s="68"/>
      <c r="M15" s="69"/>
      <c r="N15" s="69">
        <v>4</v>
      </c>
      <c r="O15">
        <v>41.166666666666664</v>
      </c>
      <c r="P15" s="69"/>
      <c r="Q15" t="s">
        <v>62</v>
      </c>
    </row>
    <row r="16" spans="1:17" ht="15.5" x14ac:dyDescent="0.35">
      <c r="A16" s="81" t="s">
        <v>37</v>
      </c>
      <c r="B16" s="81">
        <f>B14*B15</f>
        <v>15</v>
      </c>
      <c r="C16" s="82">
        <f>C17-C15</f>
        <v>7.75</v>
      </c>
      <c r="D16" s="83">
        <f>C16/B16</f>
        <v>0.51666666666666672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>
        <v>3</v>
      </c>
      <c r="O16">
        <v>41.333333333333336</v>
      </c>
      <c r="P16" s="69"/>
      <c r="Q16" t="s">
        <v>62</v>
      </c>
    </row>
    <row r="17" spans="1:14" ht="15.5" x14ac:dyDescent="0.35">
      <c r="A17" s="81" t="s">
        <v>13</v>
      </c>
      <c r="B17" s="81">
        <f>SUM(B14:B16)</f>
        <v>23</v>
      </c>
      <c r="C17" s="82">
        <f>K5</f>
        <v>842.625</v>
      </c>
      <c r="D17" s="83"/>
      <c r="E17" s="85"/>
      <c r="F17" s="86"/>
      <c r="G17" s="87"/>
      <c r="I17" s="79" t="s">
        <v>83</v>
      </c>
      <c r="J17" s="80">
        <f>SQRT(D16)/4</f>
        <v>0.17969882210706523</v>
      </c>
      <c r="L17" s="68"/>
      <c r="M17" s="69"/>
      <c r="N17" s="69"/>
    </row>
  </sheetData>
  <sortState xmlns:xlrd2="http://schemas.microsoft.com/office/spreadsheetml/2017/richdata2" ref="N13:O16">
    <sortCondition ref="O13:O16"/>
  </sortState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8212-3ACE-40BD-A9A9-C6FD4335D0EA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38</v>
      </c>
      <c r="C3" s="12">
        <v>39</v>
      </c>
      <c r="D3" s="13">
        <v>39</v>
      </c>
      <c r="E3" s="12">
        <v>38</v>
      </c>
      <c r="F3" s="1">
        <f t="shared" ref="F3:F8" si="0">SUM(B3:E3)</f>
        <v>154</v>
      </c>
      <c r="G3" s="21">
        <f t="shared" ref="G3:G8" si="1">AVERAGE(B3:E3)</f>
        <v>38.5</v>
      </c>
      <c r="J3" s="66" t="s">
        <v>42</v>
      </c>
      <c r="K3" s="89">
        <f>F9^2/J13</f>
        <v>59900.041666666664</v>
      </c>
    </row>
    <row r="4" spans="1:17" ht="15.5" x14ac:dyDescent="0.35">
      <c r="A4" s="18" t="s">
        <v>5</v>
      </c>
      <c r="B4" s="15">
        <v>43</v>
      </c>
      <c r="C4" s="14">
        <v>44</v>
      </c>
      <c r="D4" s="15">
        <v>44</v>
      </c>
      <c r="E4" s="14">
        <v>43</v>
      </c>
      <c r="F4" s="2">
        <f t="shared" si="0"/>
        <v>174</v>
      </c>
      <c r="G4" s="22">
        <f t="shared" si="1"/>
        <v>43.5</v>
      </c>
      <c r="J4" s="90" t="s">
        <v>84</v>
      </c>
      <c r="K4" s="76">
        <f>SUMSQ(F3:F8)/J12-K3</f>
        <v>1341.2083333333358</v>
      </c>
      <c r="N4" s="91" t="s">
        <v>85</v>
      </c>
      <c r="O4" s="92">
        <f>G3</f>
        <v>38.5</v>
      </c>
      <c r="P4" s="76">
        <f>O4+J15</f>
        <v>39.427159641054331</v>
      </c>
      <c r="Q4" t="s">
        <v>49</v>
      </c>
    </row>
    <row r="5" spans="1:17" ht="15.5" x14ac:dyDescent="0.35">
      <c r="A5" s="18" t="s">
        <v>6</v>
      </c>
      <c r="B5" s="15">
        <v>48</v>
      </c>
      <c r="C5" s="14">
        <v>49</v>
      </c>
      <c r="D5" s="15">
        <v>48</v>
      </c>
      <c r="E5" s="14">
        <v>47</v>
      </c>
      <c r="F5" s="2">
        <f t="shared" si="0"/>
        <v>192</v>
      </c>
      <c r="G5" s="22">
        <f t="shared" si="1"/>
        <v>48</v>
      </c>
      <c r="J5" s="66" t="s">
        <v>86</v>
      </c>
      <c r="K5" s="93">
        <f>SUMSQ(B3:E8)-K3</f>
        <v>1350.9583333333358</v>
      </c>
      <c r="N5" s="91" t="s">
        <v>87</v>
      </c>
      <c r="O5" s="92">
        <f t="shared" ref="O5:O9" si="2">G4</f>
        <v>43.5</v>
      </c>
      <c r="P5" s="76">
        <f>O5+J15</f>
        <v>44.427159641054331</v>
      </c>
      <c r="Q5" t="s">
        <v>62</v>
      </c>
    </row>
    <row r="6" spans="1:17" ht="15.5" x14ac:dyDescent="0.35">
      <c r="A6" s="18" t="s">
        <v>7</v>
      </c>
      <c r="B6" s="15">
        <v>53</v>
      </c>
      <c r="C6" s="14">
        <v>53</v>
      </c>
      <c r="D6" s="15">
        <v>54</v>
      </c>
      <c r="E6" s="14">
        <v>53</v>
      </c>
      <c r="F6" s="2">
        <f t="shared" si="0"/>
        <v>213</v>
      </c>
      <c r="G6" s="22">
        <f t="shared" si="1"/>
        <v>53.25</v>
      </c>
      <c r="J6" s="66" t="s">
        <v>88</v>
      </c>
      <c r="K6" s="93">
        <f>SUMSQ(B9:E9)/J11-K3</f>
        <v>5.125</v>
      </c>
      <c r="N6" s="91" t="s">
        <v>89</v>
      </c>
      <c r="O6" s="92">
        <f t="shared" si="2"/>
        <v>48</v>
      </c>
      <c r="P6" s="76">
        <f>O6+J15</f>
        <v>48.927159641054331</v>
      </c>
      <c r="Q6" s="62" t="s">
        <v>64</v>
      </c>
    </row>
    <row r="7" spans="1:17" ht="15.5" x14ac:dyDescent="0.35">
      <c r="A7" s="18" t="s">
        <v>8</v>
      </c>
      <c r="B7" s="15">
        <v>56</v>
      </c>
      <c r="C7" s="14">
        <v>57</v>
      </c>
      <c r="D7" s="15">
        <v>56</v>
      </c>
      <c r="E7" s="14">
        <v>55</v>
      </c>
      <c r="F7" s="2">
        <f t="shared" si="0"/>
        <v>224</v>
      </c>
      <c r="G7" s="22">
        <f t="shared" si="1"/>
        <v>56</v>
      </c>
      <c r="J7" s="66" t="s">
        <v>43</v>
      </c>
      <c r="K7" s="94">
        <f>SQRT(D16)/G9*100</f>
        <v>0.26896606332939288</v>
      </c>
      <c r="N7" s="91" t="s">
        <v>90</v>
      </c>
      <c r="O7" s="92">
        <f t="shared" si="2"/>
        <v>53.25</v>
      </c>
      <c r="P7" s="76">
        <f>O7+J15</f>
        <v>54.177159641054331</v>
      </c>
      <c r="Q7" s="62" t="s">
        <v>65</v>
      </c>
    </row>
    <row r="8" spans="1:17" ht="16" thickBot="1" x14ac:dyDescent="0.4">
      <c r="A8" s="20" t="s">
        <v>9</v>
      </c>
      <c r="B8" s="17">
        <v>59</v>
      </c>
      <c r="C8" s="16">
        <v>61</v>
      </c>
      <c r="D8" s="17">
        <v>61</v>
      </c>
      <c r="E8" s="16">
        <v>61</v>
      </c>
      <c r="F8" s="3">
        <f t="shared" si="0"/>
        <v>242</v>
      </c>
      <c r="G8" s="23">
        <f t="shared" si="1"/>
        <v>60.5</v>
      </c>
      <c r="J8" s="66"/>
      <c r="K8" s="94"/>
      <c r="N8" s="91" t="s">
        <v>91</v>
      </c>
      <c r="O8" s="92">
        <f t="shared" si="2"/>
        <v>56</v>
      </c>
      <c r="P8" s="76">
        <f>O8+J15</f>
        <v>56.927159641054331</v>
      </c>
      <c r="Q8" t="s">
        <v>70</v>
      </c>
    </row>
    <row r="9" spans="1:17" ht="15.5" x14ac:dyDescent="0.35">
      <c r="A9" s="88" t="s">
        <v>13</v>
      </c>
      <c r="B9">
        <f>SUM(B3:B8)</f>
        <v>297</v>
      </c>
      <c r="C9">
        <f t="shared" ref="C9:G9" si="3">SUM(C3:C8)</f>
        <v>303</v>
      </c>
      <c r="D9">
        <f t="shared" si="3"/>
        <v>302</v>
      </c>
      <c r="E9">
        <f t="shared" si="3"/>
        <v>297</v>
      </c>
      <c r="F9">
        <f t="shared" si="3"/>
        <v>1199</v>
      </c>
      <c r="G9">
        <f t="shared" si="3"/>
        <v>299.75</v>
      </c>
      <c r="J9" s="66"/>
      <c r="K9" s="95"/>
      <c r="N9" s="91" t="s">
        <v>92</v>
      </c>
      <c r="O9" s="92">
        <f t="shared" si="2"/>
        <v>60.5</v>
      </c>
      <c r="P9" s="76">
        <f>O9+J15</f>
        <v>61.427159641054331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5.125</v>
      </c>
      <c r="D14" s="76">
        <f>C14/B14</f>
        <v>1.7083333333333333</v>
      </c>
      <c r="E14" s="76">
        <f>D14/D16</f>
        <v>2.6282051282051282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1341.2083333333358</v>
      </c>
      <c r="D15" s="76">
        <f>C15/B15</f>
        <v>268.24166666666713</v>
      </c>
      <c r="E15" s="76">
        <f>D15/D16</f>
        <v>412.67948717948786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0.92715964105433324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9.75</v>
      </c>
      <c r="D16" s="83">
        <f>C16/B16</f>
        <v>0.65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1350.9583333333358</v>
      </c>
      <c r="D17" s="83"/>
      <c r="E17" s="85"/>
      <c r="F17" s="86"/>
      <c r="G17" s="87"/>
      <c r="I17" s="79" t="s">
        <v>83</v>
      </c>
      <c r="J17" s="80">
        <f>SQRT(D16)/4</f>
        <v>0.20155644370746376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63A5-2897-4915-A1E7-BD94DFBB876E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45</v>
      </c>
      <c r="C3" s="12">
        <v>46</v>
      </c>
      <c r="D3" s="13">
        <v>45</v>
      </c>
      <c r="E3" s="12">
        <v>46</v>
      </c>
      <c r="F3" s="1">
        <f t="shared" ref="F3:F8" si="0">SUM(B3:E3)</f>
        <v>182</v>
      </c>
      <c r="G3" s="21">
        <f t="shared" ref="G3:G8" si="1">AVERAGE(B3:E3)</f>
        <v>45.5</v>
      </c>
      <c r="J3" s="66" t="s">
        <v>42</v>
      </c>
      <c r="K3" s="89">
        <f>F9^2/J13</f>
        <v>85681.5</v>
      </c>
    </row>
    <row r="4" spans="1:17" ht="15.5" x14ac:dyDescent="0.35">
      <c r="A4" s="18" t="s">
        <v>5</v>
      </c>
      <c r="B4" s="15">
        <v>51</v>
      </c>
      <c r="C4" s="14">
        <v>52</v>
      </c>
      <c r="D4" s="15">
        <v>51</v>
      </c>
      <c r="E4" s="14">
        <v>52</v>
      </c>
      <c r="F4" s="2">
        <f t="shared" si="0"/>
        <v>206</v>
      </c>
      <c r="G4" s="22">
        <f t="shared" si="1"/>
        <v>51.5</v>
      </c>
      <c r="J4" s="90" t="s">
        <v>84</v>
      </c>
      <c r="K4" s="76">
        <f>SUMSQ(F3:F8)/J12-K3</f>
        <v>2267</v>
      </c>
      <c r="N4" s="91" t="s">
        <v>85</v>
      </c>
      <c r="O4" s="92">
        <f>G3</f>
        <v>45.5</v>
      </c>
      <c r="P4" s="76">
        <f>O4+J15</f>
        <v>46.313172798364526</v>
      </c>
      <c r="Q4" t="s">
        <v>49</v>
      </c>
    </row>
    <row r="5" spans="1:17" ht="15.5" x14ac:dyDescent="0.35">
      <c r="A5" s="18" t="s">
        <v>6</v>
      </c>
      <c r="B5" s="15">
        <v>56</v>
      </c>
      <c r="C5" s="14">
        <v>57</v>
      </c>
      <c r="D5" s="15">
        <v>56</v>
      </c>
      <c r="E5" s="14">
        <v>56</v>
      </c>
      <c r="F5" s="2">
        <f t="shared" si="0"/>
        <v>225</v>
      </c>
      <c r="G5" s="22">
        <f t="shared" si="1"/>
        <v>56.25</v>
      </c>
      <c r="J5" s="66" t="s">
        <v>86</v>
      </c>
      <c r="K5" s="93">
        <f>SUMSQ(B3:E8)-K3</f>
        <v>2274.5</v>
      </c>
      <c r="N5" s="91" t="s">
        <v>87</v>
      </c>
      <c r="O5" s="92">
        <f t="shared" ref="O5:O9" si="2">G4</f>
        <v>51.5</v>
      </c>
      <c r="P5" s="76">
        <f>O5+J15</f>
        <v>52.313172798364526</v>
      </c>
      <c r="Q5" t="s">
        <v>62</v>
      </c>
    </row>
    <row r="6" spans="1:17" ht="15.5" x14ac:dyDescent="0.35">
      <c r="A6" s="18" t="s">
        <v>7</v>
      </c>
      <c r="B6" s="15">
        <v>64</v>
      </c>
      <c r="C6" s="14">
        <v>65</v>
      </c>
      <c r="D6" s="15">
        <v>64</v>
      </c>
      <c r="E6" s="14">
        <v>64</v>
      </c>
      <c r="F6" s="2">
        <f t="shared" si="0"/>
        <v>257</v>
      </c>
      <c r="G6" s="22">
        <f t="shared" si="1"/>
        <v>64.25</v>
      </c>
      <c r="J6" s="66" t="s">
        <v>88</v>
      </c>
      <c r="K6" s="93">
        <f>SUMSQ(B9:E9)/J11-K3</f>
        <v>4.1666666666715173</v>
      </c>
      <c r="N6" s="91" t="s">
        <v>89</v>
      </c>
      <c r="O6" s="92">
        <f t="shared" si="2"/>
        <v>56.25</v>
      </c>
      <c r="P6" s="76">
        <f>O6+J15</f>
        <v>57.063172798364526</v>
      </c>
      <c r="Q6" s="62" t="s">
        <v>64</v>
      </c>
    </row>
    <row r="7" spans="1:17" ht="15.5" x14ac:dyDescent="0.35">
      <c r="A7" s="18" t="s">
        <v>8</v>
      </c>
      <c r="B7" s="15">
        <v>66</v>
      </c>
      <c r="C7" s="14">
        <v>67</v>
      </c>
      <c r="D7" s="15">
        <v>67</v>
      </c>
      <c r="E7" s="14">
        <v>66</v>
      </c>
      <c r="F7" s="2">
        <f t="shared" si="0"/>
        <v>266</v>
      </c>
      <c r="G7" s="22">
        <f t="shared" si="1"/>
        <v>66.5</v>
      </c>
      <c r="J7" s="66" t="s">
        <v>43</v>
      </c>
      <c r="K7" s="94">
        <f>SQRT(D16)/G9*100</f>
        <v>0.19724038526821414</v>
      </c>
      <c r="N7" s="91" t="s">
        <v>90</v>
      </c>
      <c r="O7" s="92">
        <f t="shared" si="2"/>
        <v>64.25</v>
      </c>
      <c r="P7" s="76">
        <f>O7+J15</f>
        <v>65.063172798364533</v>
      </c>
      <c r="Q7" s="62" t="s">
        <v>65</v>
      </c>
    </row>
    <row r="8" spans="1:17" ht="16" thickBot="1" x14ac:dyDescent="0.4">
      <c r="A8" s="20" t="s">
        <v>9</v>
      </c>
      <c r="B8" s="17">
        <v>73</v>
      </c>
      <c r="C8" s="16">
        <v>75</v>
      </c>
      <c r="D8" s="17">
        <v>75</v>
      </c>
      <c r="E8" s="16">
        <v>75</v>
      </c>
      <c r="F8" s="3">
        <f t="shared" si="0"/>
        <v>298</v>
      </c>
      <c r="G8" s="23">
        <f t="shared" si="1"/>
        <v>74.5</v>
      </c>
      <c r="J8" s="66"/>
      <c r="K8" s="94"/>
      <c r="N8" s="91" t="s">
        <v>91</v>
      </c>
      <c r="O8" s="92">
        <f t="shared" si="2"/>
        <v>66.5</v>
      </c>
      <c r="P8" s="76">
        <f>O8+J15</f>
        <v>67.313172798364533</v>
      </c>
      <c r="Q8" t="s">
        <v>70</v>
      </c>
    </row>
    <row r="9" spans="1:17" ht="15.5" x14ac:dyDescent="0.35">
      <c r="A9" s="88" t="s">
        <v>13</v>
      </c>
      <c r="B9">
        <f>SUM(B3:B8)</f>
        <v>355</v>
      </c>
      <c r="C9">
        <f t="shared" ref="C9:G9" si="3">SUM(C3:C8)</f>
        <v>362</v>
      </c>
      <c r="D9">
        <f t="shared" si="3"/>
        <v>358</v>
      </c>
      <c r="E9">
        <f t="shared" si="3"/>
        <v>359</v>
      </c>
      <c r="F9">
        <f t="shared" si="3"/>
        <v>1434</v>
      </c>
      <c r="G9">
        <f t="shared" si="3"/>
        <v>358.5</v>
      </c>
      <c r="J9" s="66"/>
      <c r="K9" s="95"/>
      <c r="N9" s="91" t="s">
        <v>92</v>
      </c>
      <c r="O9" s="92">
        <f t="shared" si="2"/>
        <v>74.5</v>
      </c>
      <c r="P9" s="76">
        <f>O9+J15</f>
        <v>75.313172798364533</v>
      </c>
      <c r="Q9" t="s">
        <v>71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4.1666666666715173</v>
      </c>
      <c r="D14" s="76">
        <f>C14/B14</f>
        <v>1.3888888888905058</v>
      </c>
      <c r="E14" s="76">
        <f>D14/D16</f>
        <v>2.7777777777810115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2267</v>
      </c>
      <c r="D15" s="76">
        <f>C15/B15</f>
        <v>453.4</v>
      </c>
      <c r="E15" s="76">
        <f>D15/D16</f>
        <v>906.8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0.8131727983645296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7.5</v>
      </c>
      <c r="D16" s="83">
        <f>C16/B16</f>
        <v>0.5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2274.5</v>
      </c>
      <c r="D17" s="83"/>
      <c r="E17" s="85"/>
      <c r="F17" s="86"/>
      <c r="G17" s="87"/>
      <c r="I17" s="79" t="s">
        <v>83</v>
      </c>
      <c r="J17" s="80">
        <f>SQRT(D16)/4</f>
        <v>0.17677669529663689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3614-B751-4FD6-9007-0AF66223CB82}">
  <dimension ref="A1:Q17"/>
  <sheetViews>
    <sheetView workbookViewId="0">
      <selection activeCell="H14" sqref="H14:H15"/>
    </sheetView>
  </sheetViews>
  <sheetFormatPr defaultRowHeight="14.5" x14ac:dyDescent="0.35"/>
  <sheetData>
    <row r="1" spans="1:17" ht="15" thickBot="1" x14ac:dyDescent="0.4">
      <c r="A1" s="98" t="s">
        <v>1</v>
      </c>
      <c r="B1" s="105" t="s">
        <v>11</v>
      </c>
      <c r="C1" s="106"/>
      <c r="D1" s="106"/>
      <c r="E1" s="107"/>
      <c r="F1" s="100" t="s">
        <v>3</v>
      </c>
      <c r="G1" s="98" t="s">
        <v>4</v>
      </c>
    </row>
    <row r="2" spans="1:17" ht="16" thickBot="1" x14ac:dyDescent="0.4">
      <c r="A2" s="99"/>
      <c r="B2" s="10">
        <v>1</v>
      </c>
      <c r="C2" s="11">
        <v>2</v>
      </c>
      <c r="D2" s="10">
        <v>3</v>
      </c>
      <c r="E2" s="11">
        <v>4</v>
      </c>
      <c r="F2" s="101"/>
      <c r="G2" s="99"/>
      <c r="J2" s="66"/>
      <c r="K2" s="89"/>
    </row>
    <row r="3" spans="1:17" ht="15.5" x14ac:dyDescent="0.35">
      <c r="A3" s="19" t="s">
        <v>10</v>
      </c>
      <c r="B3" s="13">
        <v>56</v>
      </c>
      <c r="C3" s="12">
        <v>57</v>
      </c>
      <c r="D3" s="13">
        <v>57</v>
      </c>
      <c r="E3" s="12">
        <v>57</v>
      </c>
      <c r="F3" s="1">
        <f t="shared" ref="F3:F8" si="0">SUM(B3:E3)</f>
        <v>227</v>
      </c>
      <c r="G3" s="21">
        <f t="shared" ref="G3:G8" si="1">AVERAGE(B3:E3)</f>
        <v>56.75</v>
      </c>
      <c r="J3" s="66" t="s">
        <v>42</v>
      </c>
      <c r="K3" s="89">
        <f>F9^2/J13</f>
        <v>158275.04166666666</v>
      </c>
    </row>
    <row r="4" spans="1:17" ht="15.5" x14ac:dyDescent="0.35">
      <c r="A4" s="18" t="s">
        <v>5</v>
      </c>
      <c r="B4" s="15">
        <v>65</v>
      </c>
      <c r="C4" s="14">
        <v>68</v>
      </c>
      <c r="D4" s="15">
        <v>68</v>
      </c>
      <c r="E4" s="14">
        <v>68</v>
      </c>
      <c r="F4" s="2">
        <f t="shared" si="0"/>
        <v>269</v>
      </c>
      <c r="G4" s="22">
        <f t="shared" si="1"/>
        <v>67.25</v>
      </c>
      <c r="J4" s="90" t="s">
        <v>84</v>
      </c>
      <c r="K4" s="76">
        <f>SUMSQ(F3:F8)/J12-K3</f>
        <v>7205.208333333343</v>
      </c>
      <c r="N4" s="91" t="s">
        <v>85</v>
      </c>
      <c r="O4" s="92">
        <f>G3</f>
        <v>56.75</v>
      </c>
      <c r="P4" s="76">
        <f>O4+J15</f>
        <v>59.817864349456585</v>
      </c>
      <c r="Q4" t="s">
        <v>49</v>
      </c>
    </row>
    <row r="5" spans="1:17" ht="15.5" x14ac:dyDescent="0.35">
      <c r="A5" s="18" t="s">
        <v>6</v>
      </c>
      <c r="B5" s="15">
        <v>78</v>
      </c>
      <c r="C5" s="14">
        <v>79</v>
      </c>
      <c r="D5" s="15">
        <v>78</v>
      </c>
      <c r="E5" s="14">
        <v>79</v>
      </c>
      <c r="F5" s="2">
        <f t="shared" si="0"/>
        <v>314</v>
      </c>
      <c r="G5" s="22">
        <f t="shared" si="1"/>
        <v>78.5</v>
      </c>
      <c r="J5" s="66" t="s">
        <v>86</v>
      </c>
      <c r="K5" s="93">
        <f>SUMSQ(B3:E8)-K3</f>
        <v>7311.958333333343</v>
      </c>
      <c r="N5" s="91" t="s">
        <v>87</v>
      </c>
      <c r="O5" s="92">
        <f t="shared" ref="O5:O9" si="2">G4</f>
        <v>67.25</v>
      </c>
      <c r="P5" s="76">
        <f>O5+J15</f>
        <v>70.317864349456585</v>
      </c>
      <c r="Q5" t="s">
        <v>62</v>
      </c>
    </row>
    <row r="6" spans="1:17" ht="15.5" x14ac:dyDescent="0.35">
      <c r="A6" s="18" t="s">
        <v>7</v>
      </c>
      <c r="B6" s="15">
        <v>80</v>
      </c>
      <c r="C6" s="14">
        <v>81</v>
      </c>
      <c r="D6" s="15">
        <v>81</v>
      </c>
      <c r="E6" s="14">
        <v>81</v>
      </c>
      <c r="F6" s="2">
        <f t="shared" si="0"/>
        <v>323</v>
      </c>
      <c r="G6" s="22">
        <f t="shared" si="1"/>
        <v>80.75</v>
      </c>
      <c r="J6" s="66" t="s">
        <v>88</v>
      </c>
      <c r="K6" s="93">
        <f>SUMSQ(B9:E9)/J11-K3</f>
        <v>55.458333333343035</v>
      </c>
      <c r="N6" s="91" t="s">
        <v>89</v>
      </c>
      <c r="O6" s="92">
        <f t="shared" si="2"/>
        <v>78.5</v>
      </c>
      <c r="P6" s="76">
        <f>O6+J15</f>
        <v>81.567864349456585</v>
      </c>
      <c r="Q6" s="62" t="s">
        <v>62</v>
      </c>
    </row>
    <row r="7" spans="1:17" ht="15.5" x14ac:dyDescent="0.35">
      <c r="A7" s="18" t="s">
        <v>8</v>
      </c>
      <c r="B7" s="15">
        <v>89</v>
      </c>
      <c r="C7" s="14">
        <v>93</v>
      </c>
      <c r="D7" s="15">
        <v>95</v>
      </c>
      <c r="E7" s="14">
        <v>98</v>
      </c>
      <c r="F7" s="2">
        <f t="shared" si="0"/>
        <v>375</v>
      </c>
      <c r="G7" s="22">
        <f t="shared" si="1"/>
        <v>93.75</v>
      </c>
      <c r="J7" s="66" t="s">
        <v>43</v>
      </c>
      <c r="K7" s="94">
        <f>SQRT(D16)/G9*100</f>
        <v>0.54750295124930659</v>
      </c>
      <c r="N7" s="91" t="s">
        <v>90</v>
      </c>
      <c r="O7" s="92">
        <f t="shared" si="2"/>
        <v>80.75</v>
      </c>
      <c r="P7" s="76">
        <f>O7+J15</f>
        <v>83.817864349456585</v>
      </c>
      <c r="Q7" s="62" t="s">
        <v>64</v>
      </c>
    </row>
    <row r="8" spans="1:17" ht="16" thickBot="1" x14ac:dyDescent="0.4">
      <c r="A8" s="20" t="s">
        <v>9</v>
      </c>
      <c r="B8" s="17">
        <v>105</v>
      </c>
      <c r="C8" s="16">
        <v>109</v>
      </c>
      <c r="D8" s="17">
        <v>112</v>
      </c>
      <c r="E8" s="16">
        <v>115</v>
      </c>
      <c r="F8" s="3">
        <f t="shared" si="0"/>
        <v>441</v>
      </c>
      <c r="G8" s="23">
        <f t="shared" si="1"/>
        <v>110.25</v>
      </c>
      <c r="J8" s="66"/>
      <c r="K8" s="94"/>
      <c r="N8" s="91" t="s">
        <v>91</v>
      </c>
      <c r="O8" s="92">
        <f t="shared" si="2"/>
        <v>93.75</v>
      </c>
      <c r="P8" s="76">
        <f>O8+J15</f>
        <v>96.817864349456585</v>
      </c>
      <c r="Q8" t="s">
        <v>65</v>
      </c>
    </row>
    <row r="9" spans="1:17" ht="15.5" x14ac:dyDescent="0.35">
      <c r="A9" s="88" t="s">
        <v>13</v>
      </c>
      <c r="B9">
        <f>SUM(B3:B8)</f>
        <v>473</v>
      </c>
      <c r="C9">
        <f t="shared" ref="C9:G9" si="3">SUM(C3:C8)</f>
        <v>487</v>
      </c>
      <c r="D9">
        <f t="shared" si="3"/>
        <v>491</v>
      </c>
      <c r="E9">
        <f t="shared" si="3"/>
        <v>498</v>
      </c>
      <c r="F9">
        <f t="shared" si="3"/>
        <v>1949</v>
      </c>
      <c r="G9">
        <f t="shared" si="3"/>
        <v>487.25</v>
      </c>
      <c r="J9" s="66"/>
      <c r="K9" s="95"/>
      <c r="N9" s="91" t="s">
        <v>92</v>
      </c>
      <c r="O9" s="92">
        <f t="shared" si="2"/>
        <v>110.25</v>
      </c>
      <c r="P9" s="76">
        <f>O9+J15</f>
        <v>113.31786434945658</v>
      </c>
      <c r="Q9" t="s">
        <v>70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55.458333333343035</v>
      </c>
      <c r="D14" s="76">
        <f>C14/B14</f>
        <v>18.486111111114344</v>
      </c>
      <c r="E14" s="76">
        <f>D14/D16</f>
        <v>2.5975800156132567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7205.208333333343</v>
      </c>
      <c r="D15" s="76">
        <f>C15/B15</f>
        <v>1441.0416666666686</v>
      </c>
      <c r="E15" s="76">
        <f>D15/D16</f>
        <v>202.48829039812674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3.0678643494565834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106.75</v>
      </c>
      <c r="D16" s="83">
        <f>C16/B16</f>
        <v>7.1166666666666663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7311.958333333343</v>
      </c>
      <c r="D17" s="83"/>
      <c r="E17" s="85"/>
      <c r="F17" s="86"/>
      <c r="G17" s="87"/>
      <c r="I17" s="79" t="s">
        <v>83</v>
      </c>
      <c r="J17" s="80">
        <f>SQRT(D16)/4</f>
        <v>0.66692703249056162</v>
      </c>
      <c r="L17" s="68"/>
      <c r="M17" s="69"/>
      <c r="N17" s="69"/>
      <c r="O17" s="69"/>
      <c r="P17" s="69"/>
    </row>
  </sheetData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0309-CC72-4555-9B52-D7DA7B55738C}">
  <dimension ref="A1:Q17"/>
  <sheetViews>
    <sheetView workbookViewId="0">
      <selection activeCell="H14" sqref="H14:H15"/>
    </sheetView>
  </sheetViews>
  <sheetFormatPr defaultRowHeight="14.5" x14ac:dyDescent="0.35"/>
  <cols>
    <col min="1" max="1" width="15.26953125" bestFit="1" customWidth="1"/>
    <col min="3" max="3" width="11.90625" bestFit="1" customWidth="1"/>
    <col min="4" max="4" width="11.81640625" customWidth="1"/>
    <col min="5" max="5" width="10.90625" bestFit="1" customWidth="1"/>
  </cols>
  <sheetData>
    <row r="1" spans="1:17" ht="15" thickBot="1" x14ac:dyDescent="0.4">
      <c r="A1" s="108" t="s">
        <v>1</v>
      </c>
      <c r="B1" s="121" t="s">
        <v>12</v>
      </c>
      <c r="C1" s="122"/>
      <c r="D1" s="122"/>
      <c r="E1" s="122"/>
      <c r="F1" s="110" t="s">
        <v>13</v>
      </c>
      <c r="G1" s="110" t="s">
        <v>4</v>
      </c>
    </row>
    <row r="2" spans="1:17" ht="16" thickBot="1" x14ac:dyDescent="0.4">
      <c r="A2" s="109"/>
      <c r="B2" s="24">
        <v>1</v>
      </c>
      <c r="C2" s="24">
        <f>B2+1</f>
        <v>2</v>
      </c>
      <c r="D2" s="25">
        <f t="shared" ref="D2:E2" si="0">C2+1</f>
        <v>3</v>
      </c>
      <c r="E2" s="24">
        <f t="shared" si="0"/>
        <v>4</v>
      </c>
      <c r="F2" s="111"/>
      <c r="G2" s="111"/>
      <c r="J2" s="66"/>
      <c r="K2" s="89"/>
    </row>
    <row r="3" spans="1:17" ht="15.5" x14ac:dyDescent="0.35">
      <c r="A3" s="19" t="s">
        <v>10</v>
      </c>
      <c r="B3" s="7">
        <v>124</v>
      </c>
      <c r="C3" s="7">
        <v>126</v>
      </c>
      <c r="D3" s="7">
        <v>126</v>
      </c>
      <c r="E3" s="7">
        <v>128</v>
      </c>
      <c r="F3" s="7">
        <f>SUM(B3:E3)</f>
        <v>504</v>
      </c>
      <c r="G3" s="7">
        <f>AVERAGE(B3:E3)</f>
        <v>126</v>
      </c>
      <c r="J3" s="66" t="s">
        <v>42</v>
      </c>
      <c r="K3" s="89">
        <f>F9^2/J13</f>
        <v>330176.04166666669</v>
      </c>
    </row>
    <row r="4" spans="1:17" ht="15.5" x14ac:dyDescent="0.35">
      <c r="A4" s="18" t="s">
        <v>5</v>
      </c>
      <c r="B4" s="8">
        <v>121</v>
      </c>
      <c r="C4" s="8">
        <v>123</v>
      </c>
      <c r="D4" s="8">
        <v>124</v>
      </c>
      <c r="E4" s="8">
        <v>125</v>
      </c>
      <c r="F4" s="8">
        <f t="shared" ref="F4:F8" si="1">SUM(B4:E4)</f>
        <v>493</v>
      </c>
      <c r="G4" s="8">
        <f t="shared" ref="G4:G8" si="2">AVERAGE(B4:E4)</f>
        <v>123.25</v>
      </c>
      <c r="J4" s="90" t="s">
        <v>84</v>
      </c>
      <c r="K4" s="76">
        <f>SUMSQ(F3:F8)/J12-K3</f>
        <v>973.70833333331393</v>
      </c>
      <c r="N4" s="91" t="s">
        <v>92</v>
      </c>
      <c r="O4" s="92">
        <v>107</v>
      </c>
      <c r="P4" s="76">
        <f>O4+J15</f>
        <v>110.74707107841134</v>
      </c>
      <c r="Q4" t="s">
        <v>70</v>
      </c>
    </row>
    <row r="5" spans="1:17" ht="15.5" x14ac:dyDescent="0.35">
      <c r="A5" s="18" t="s">
        <v>6</v>
      </c>
      <c r="B5" s="8">
        <v>119</v>
      </c>
      <c r="C5" s="8">
        <v>120</v>
      </c>
      <c r="D5" s="8">
        <v>119</v>
      </c>
      <c r="E5" s="8">
        <v>117</v>
      </c>
      <c r="F5" s="8">
        <f t="shared" si="1"/>
        <v>475</v>
      </c>
      <c r="G5" s="8">
        <f t="shared" si="2"/>
        <v>118.75</v>
      </c>
      <c r="J5" s="66" t="s">
        <v>86</v>
      </c>
      <c r="K5" s="93">
        <f>SUMSQ(B3:E8)-K3</f>
        <v>1132.9583333333139</v>
      </c>
      <c r="N5" s="91" t="s">
        <v>91</v>
      </c>
      <c r="O5" s="92">
        <v>112.5</v>
      </c>
      <c r="P5" s="76">
        <f>O5+J12</f>
        <v>116.5</v>
      </c>
      <c r="Q5" t="s">
        <v>65</v>
      </c>
    </row>
    <row r="6" spans="1:17" ht="15.5" x14ac:dyDescent="0.35">
      <c r="A6" s="18" t="s">
        <v>7</v>
      </c>
      <c r="B6" s="8">
        <v>117</v>
      </c>
      <c r="C6" s="8">
        <v>118</v>
      </c>
      <c r="D6" s="8">
        <v>116</v>
      </c>
      <c r="E6" s="8">
        <v>114</v>
      </c>
      <c r="F6" s="8">
        <f t="shared" si="1"/>
        <v>465</v>
      </c>
      <c r="G6" s="8">
        <f t="shared" si="2"/>
        <v>116.25</v>
      </c>
      <c r="J6" s="66" t="s">
        <v>88</v>
      </c>
      <c r="K6" s="93">
        <f>SUMSQ(B9:E9)/J11-K3</f>
        <v>32.791666666627862</v>
      </c>
      <c r="N6" s="91" t="s">
        <v>90</v>
      </c>
      <c r="O6" s="92">
        <v>116.25</v>
      </c>
      <c r="P6" s="76">
        <f>O6+J14</f>
        <v>116.25</v>
      </c>
      <c r="Q6" s="62" t="s">
        <v>64</v>
      </c>
    </row>
    <row r="7" spans="1:17" ht="15.5" x14ac:dyDescent="0.35">
      <c r="A7" s="18" t="s">
        <v>8</v>
      </c>
      <c r="B7" s="8">
        <v>115</v>
      </c>
      <c r="C7" s="8">
        <v>113</v>
      </c>
      <c r="D7" s="8">
        <v>112</v>
      </c>
      <c r="E7" s="8">
        <v>110</v>
      </c>
      <c r="F7" s="8">
        <f t="shared" si="1"/>
        <v>450</v>
      </c>
      <c r="G7" s="8">
        <f t="shared" si="2"/>
        <v>112.5</v>
      </c>
      <c r="J7" s="66" t="s">
        <v>43</v>
      </c>
      <c r="K7" s="94">
        <f>SQRT(D16)/G9*100</f>
        <v>0.46299434129725331</v>
      </c>
      <c r="N7" s="91" t="s">
        <v>89</v>
      </c>
      <c r="O7" s="92">
        <v>118.75</v>
      </c>
      <c r="P7" s="76">
        <f>O7+J16</f>
        <v>123.35</v>
      </c>
      <c r="Q7" s="62" t="s">
        <v>62</v>
      </c>
    </row>
    <row r="8" spans="1:17" ht="16" thickBot="1" x14ac:dyDescent="0.4">
      <c r="A8" s="20" t="s">
        <v>9</v>
      </c>
      <c r="B8" s="9">
        <v>112</v>
      </c>
      <c r="C8" s="9">
        <v>110</v>
      </c>
      <c r="D8" s="9">
        <v>108</v>
      </c>
      <c r="E8" s="9">
        <v>98</v>
      </c>
      <c r="F8" s="26">
        <f t="shared" si="1"/>
        <v>428</v>
      </c>
      <c r="G8" s="26">
        <f t="shared" si="2"/>
        <v>107</v>
      </c>
      <c r="J8" s="66"/>
      <c r="K8" s="94"/>
      <c r="N8" s="91" t="s">
        <v>87</v>
      </c>
      <c r="O8" s="92">
        <v>123.25</v>
      </c>
      <c r="P8" s="76"/>
      <c r="Q8" t="s">
        <v>62</v>
      </c>
    </row>
    <row r="9" spans="1:17" ht="15.5" x14ac:dyDescent="0.35">
      <c r="A9" s="88" t="s">
        <v>13</v>
      </c>
      <c r="B9">
        <f>SUM(B3:B8)</f>
        <v>708</v>
      </c>
      <c r="C9">
        <f t="shared" ref="C9:G9" si="3">SUM(C3:C8)</f>
        <v>710</v>
      </c>
      <c r="D9">
        <f t="shared" si="3"/>
        <v>705</v>
      </c>
      <c r="E9">
        <f t="shared" si="3"/>
        <v>692</v>
      </c>
      <c r="F9">
        <f t="shared" si="3"/>
        <v>2815</v>
      </c>
      <c r="G9">
        <f t="shared" si="3"/>
        <v>703.75</v>
      </c>
      <c r="J9" s="66"/>
      <c r="K9" s="95"/>
      <c r="N9" s="91" t="s">
        <v>85</v>
      </c>
      <c r="O9" s="92">
        <v>126</v>
      </c>
      <c r="P9" s="76">
        <f>O9+J20</f>
        <v>126</v>
      </c>
      <c r="Q9" t="s">
        <v>49</v>
      </c>
    </row>
    <row r="10" spans="1:17" ht="15.5" x14ac:dyDescent="0.35">
      <c r="H10" s="64"/>
      <c r="I10" s="65"/>
      <c r="J10" s="65"/>
      <c r="K10" s="66"/>
    </row>
    <row r="11" spans="1:17" ht="15.5" x14ac:dyDescent="0.35">
      <c r="H11" s="65"/>
      <c r="I11" s="66" t="s">
        <v>46</v>
      </c>
      <c r="J11" s="67">
        <v>6</v>
      </c>
      <c r="K11" s="66"/>
      <c r="L11" s="68"/>
      <c r="M11" s="69"/>
      <c r="N11" s="69"/>
      <c r="O11" s="69"/>
      <c r="P11" s="69"/>
    </row>
    <row r="12" spans="1:17" ht="15.5" x14ac:dyDescent="0.35">
      <c r="A12" s="123" t="s">
        <v>30</v>
      </c>
      <c r="B12" s="123" t="s">
        <v>77</v>
      </c>
      <c r="C12" s="123" t="s">
        <v>32</v>
      </c>
      <c r="D12" s="123" t="s">
        <v>33</v>
      </c>
      <c r="E12" s="123" t="s">
        <v>78</v>
      </c>
      <c r="F12" s="125" t="s">
        <v>79</v>
      </c>
      <c r="G12" s="126"/>
      <c r="H12" s="70"/>
      <c r="I12" s="66" t="s">
        <v>80</v>
      </c>
      <c r="J12" s="67">
        <v>4</v>
      </c>
      <c r="K12" s="66"/>
      <c r="L12" s="68"/>
      <c r="M12" s="69"/>
      <c r="N12" s="69"/>
      <c r="O12" s="69"/>
      <c r="P12" s="69"/>
    </row>
    <row r="13" spans="1:17" ht="15.5" x14ac:dyDescent="0.35">
      <c r="A13" s="124"/>
      <c r="B13" s="124"/>
      <c r="C13" s="124"/>
      <c r="D13" s="124"/>
      <c r="E13" s="124"/>
      <c r="F13" s="71">
        <v>0.05</v>
      </c>
      <c r="G13" s="72">
        <v>0.01</v>
      </c>
      <c r="H13" s="73"/>
      <c r="I13" s="66" t="s">
        <v>13</v>
      </c>
      <c r="J13" s="67">
        <f>J11*J12</f>
        <v>24</v>
      </c>
      <c r="L13" s="68"/>
      <c r="M13" s="69"/>
      <c r="N13" s="69"/>
      <c r="O13" s="69"/>
      <c r="P13" s="69"/>
    </row>
    <row r="14" spans="1:17" ht="15.5" x14ac:dyDescent="0.35">
      <c r="A14" s="74" t="s">
        <v>80</v>
      </c>
      <c r="B14" s="74">
        <f>4-1</f>
        <v>3</v>
      </c>
      <c r="C14" s="75">
        <f>K6</f>
        <v>32.791666666627862</v>
      </c>
      <c r="D14" s="76">
        <f>C14/B14</f>
        <v>10.93055555554262</v>
      </c>
      <c r="E14" s="76">
        <f>D14/D16</f>
        <v>1.0295656724215969</v>
      </c>
      <c r="F14" s="76">
        <v>3.29</v>
      </c>
      <c r="G14" s="76">
        <v>5.42</v>
      </c>
      <c r="H14" s="77" t="s">
        <v>94</v>
      </c>
      <c r="K14" s="78"/>
      <c r="L14" s="68"/>
      <c r="M14" s="69"/>
      <c r="N14" s="69"/>
      <c r="O14" s="69"/>
      <c r="P14" s="69"/>
    </row>
    <row r="15" spans="1:17" ht="15.5" x14ac:dyDescent="0.35">
      <c r="A15" s="74" t="s">
        <v>46</v>
      </c>
      <c r="B15" s="74">
        <f>6-1</f>
        <v>5</v>
      </c>
      <c r="C15" s="75">
        <f>K4</f>
        <v>973.70833333331393</v>
      </c>
      <c r="D15" s="76">
        <f>C15/B15</f>
        <v>194.74166666666278</v>
      </c>
      <c r="E15" s="76">
        <f>D15/D16</f>
        <v>18.343014128728047</v>
      </c>
      <c r="F15" s="76">
        <v>2.9</v>
      </c>
      <c r="G15" s="76">
        <v>4.5599999999999996</v>
      </c>
      <c r="H15" s="77" t="s">
        <v>93</v>
      </c>
      <c r="I15" s="79" t="s">
        <v>81</v>
      </c>
      <c r="J15" s="80">
        <f>J16*J17</f>
        <v>3.7470710784113326</v>
      </c>
      <c r="K15" s="78"/>
      <c r="L15" s="68"/>
      <c r="M15" s="69"/>
      <c r="N15" s="69"/>
      <c r="O15" s="69"/>
      <c r="P15" s="69"/>
    </row>
    <row r="16" spans="1:17" ht="15.5" x14ac:dyDescent="0.35">
      <c r="A16" s="81" t="s">
        <v>37</v>
      </c>
      <c r="B16" s="81">
        <f>B14*B15</f>
        <v>15</v>
      </c>
      <c r="C16" s="82">
        <f>C17-C15</f>
        <v>159.25</v>
      </c>
      <c r="D16" s="83">
        <f>C16/B16</f>
        <v>10.616666666666667</v>
      </c>
      <c r="E16" s="76"/>
      <c r="F16" s="76"/>
      <c r="G16" s="84"/>
      <c r="H16" s="84"/>
      <c r="I16" s="79" t="s">
        <v>82</v>
      </c>
      <c r="J16" s="80">
        <v>4.5999999999999996</v>
      </c>
      <c r="K16" s="78"/>
      <c r="L16" s="68"/>
      <c r="M16" s="69"/>
      <c r="N16" s="69"/>
      <c r="O16" s="69"/>
      <c r="P16" s="69"/>
    </row>
    <row r="17" spans="1:16" ht="15.5" x14ac:dyDescent="0.35">
      <c r="A17" s="81" t="s">
        <v>13</v>
      </c>
      <c r="B17" s="81">
        <f>SUM(B14:B16)</f>
        <v>23</v>
      </c>
      <c r="C17" s="82">
        <f>K5</f>
        <v>1132.9583333333139</v>
      </c>
      <c r="D17" s="83"/>
      <c r="E17" s="85"/>
      <c r="F17" s="86"/>
      <c r="G17" s="87"/>
      <c r="I17" s="79" t="s">
        <v>83</v>
      </c>
      <c r="J17" s="80">
        <f>SQRT(D16)/4</f>
        <v>0.81458066921985495</v>
      </c>
      <c r="L17" s="68"/>
      <c r="M17" s="69"/>
      <c r="N17" s="69"/>
      <c r="O17" s="69"/>
      <c r="P17" s="69"/>
    </row>
  </sheetData>
  <sortState xmlns:xlrd2="http://schemas.microsoft.com/office/spreadsheetml/2017/richdata2" ref="N4:Q9">
    <sortCondition ref="O4:O9"/>
  </sortState>
  <mergeCells count="10">
    <mergeCell ref="A1:A2"/>
    <mergeCell ref="B1:E1"/>
    <mergeCell ref="F1:F2"/>
    <mergeCell ref="G1:G2"/>
    <mergeCell ref="A12:A13"/>
    <mergeCell ref="B12:B13"/>
    <mergeCell ref="C12:C13"/>
    <mergeCell ref="D12:D13"/>
    <mergeCell ref="E12:E13"/>
    <mergeCell ref="F12:G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318B-F1BE-4794-9135-C29BF890ADE0}">
  <dimension ref="A1:Z95"/>
  <sheetViews>
    <sheetView tabSelected="1" zoomScale="90" zoomScaleNormal="90" workbookViewId="0">
      <selection activeCell="K20" sqref="K20"/>
    </sheetView>
  </sheetViews>
  <sheetFormatPr defaultColWidth="8.7265625" defaultRowHeight="14.5" x14ac:dyDescent="0.35"/>
  <cols>
    <col min="1" max="1" width="24.81640625" customWidth="1"/>
    <col min="2" max="2" width="11.453125" customWidth="1"/>
    <col min="3" max="3" width="16" customWidth="1"/>
    <col min="4" max="4" width="12.90625" customWidth="1"/>
    <col min="5" max="5" width="11.453125" customWidth="1"/>
    <col min="6" max="6" width="9.90625" bestFit="1" customWidth="1"/>
    <col min="10" max="10" width="8.7265625" customWidth="1"/>
    <col min="11" max="11" width="16.7265625" customWidth="1"/>
    <col min="17" max="17" width="21.90625" customWidth="1"/>
    <col min="19" max="19" width="12" customWidth="1"/>
    <col min="20" max="20" width="14.54296875" customWidth="1"/>
    <col min="21" max="21" width="12" bestFit="1" customWidth="1"/>
    <col min="24" max="24" width="11.26953125" bestFit="1" customWidth="1"/>
    <col min="25" max="25" width="15.453125" bestFit="1" customWidth="1"/>
  </cols>
  <sheetData>
    <row r="1" spans="1:26" ht="15" thickBot="1" x14ac:dyDescent="0.4">
      <c r="A1" s="115" t="s">
        <v>1</v>
      </c>
      <c r="B1" s="112" t="s">
        <v>14</v>
      </c>
      <c r="C1" s="113"/>
      <c r="D1" s="113"/>
      <c r="E1" s="114"/>
      <c r="F1" s="117" t="s">
        <v>13</v>
      </c>
      <c r="G1" s="119" t="s">
        <v>4</v>
      </c>
      <c r="I1" s="52" t="s">
        <v>40</v>
      </c>
      <c r="J1" s="49"/>
    </row>
    <row r="2" spans="1:26" ht="15" thickBot="1" x14ac:dyDescent="0.4">
      <c r="A2" s="116"/>
      <c r="B2" s="31">
        <v>1</v>
      </c>
      <c r="C2" s="31">
        <v>2</v>
      </c>
      <c r="D2" s="32">
        <v>3</v>
      </c>
      <c r="E2" s="31">
        <v>4</v>
      </c>
      <c r="F2" s="118"/>
      <c r="G2" s="120"/>
      <c r="I2" s="53"/>
      <c r="J2" s="53" t="s">
        <v>10</v>
      </c>
      <c r="K2" s="53" t="s">
        <v>5</v>
      </c>
      <c r="L2" s="53" t="s">
        <v>6</v>
      </c>
      <c r="M2" s="53" t="s">
        <v>7</v>
      </c>
      <c r="N2" s="53" t="s">
        <v>8</v>
      </c>
      <c r="O2" s="53" t="s">
        <v>9</v>
      </c>
      <c r="P2" s="53" t="s">
        <v>41</v>
      </c>
      <c r="Q2" s="53" t="s">
        <v>60</v>
      </c>
      <c r="S2" s="53" t="s">
        <v>44</v>
      </c>
      <c r="T2" s="53" t="s">
        <v>63</v>
      </c>
      <c r="U2" s="53" t="s">
        <v>45</v>
      </c>
    </row>
    <row r="3" spans="1:26" x14ac:dyDescent="0.35">
      <c r="A3" s="33" t="s">
        <v>15</v>
      </c>
      <c r="B3" s="34">
        <v>4</v>
      </c>
      <c r="C3" s="35">
        <v>6</v>
      </c>
      <c r="D3" s="34">
        <v>5</v>
      </c>
      <c r="E3" s="35">
        <v>5</v>
      </c>
      <c r="F3" s="34">
        <f>SUM(B3:E3)</f>
        <v>20</v>
      </c>
      <c r="G3" s="36">
        <f>AVERAGE(B3:E3)</f>
        <v>5</v>
      </c>
      <c r="I3" s="53" t="s">
        <v>50</v>
      </c>
      <c r="J3" s="58">
        <f>F3</f>
        <v>20</v>
      </c>
      <c r="K3" s="58">
        <f>F5</f>
        <v>31</v>
      </c>
      <c r="L3" s="58">
        <f>F7</f>
        <v>38</v>
      </c>
      <c r="M3" s="58">
        <f>F9</f>
        <v>44</v>
      </c>
      <c r="N3" s="58">
        <f>F11</f>
        <v>63</v>
      </c>
      <c r="O3" s="58">
        <f>F13</f>
        <v>80</v>
      </c>
      <c r="P3" s="58">
        <f>SUM(J3:O3)</f>
        <v>276</v>
      </c>
      <c r="Q3" s="53">
        <f>P3/(4*2)</f>
        <v>34.5</v>
      </c>
      <c r="S3" s="53">
        <f>SQRT(D24/(4*6))</f>
        <v>0.28967574464741958</v>
      </c>
      <c r="T3" s="53">
        <v>4.2300000000000004</v>
      </c>
      <c r="U3" s="53">
        <f>S3*T3</f>
        <v>1.2253283998585849</v>
      </c>
    </row>
    <row r="4" spans="1:26" x14ac:dyDescent="0.35">
      <c r="A4" s="37" t="s">
        <v>16</v>
      </c>
      <c r="B4" s="38">
        <v>9</v>
      </c>
      <c r="C4" s="39">
        <v>11</v>
      </c>
      <c r="D4" s="38">
        <v>13</v>
      </c>
      <c r="E4" s="39">
        <v>12</v>
      </c>
      <c r="F4" s="38">
        <f t="shared" ref="F4:F14" si="0">SUM(B4:E4)</f>
        <v>45</v>
      </c>
      <c r="G4" s="40">
        <f t="shared" ref="G4:G14" si="1">AVERAGE(B4:E4)</f>
        <v>11.25</v>
      </c>
      <c r="H4" s="129"/>
      <c r="I4" s="53" t="s">
        <v>51</v>
      </c>
      <c r="J4" s="58">
        <f>F4</f>
        <v>45</v>
      </c>
      <c r="K4" s="58">
        <f>F6</f>
        <v>58</v>
      </c>
      <c r="L4" s="58">
        <f>F8</f>
        <v>73</v>
      </c>
      <c r="M4" s="58">
        <f>F10</f>
        <v>95</v>
      </c>
      <c r="N4" s="58">
        <f>F12</f>
        <v>108</v>
      </c>
      <c r="O4" s="58">
        <f>F14</f>
        <v>145</v>
      </c>
      <c r="P4" s="58">
        <f>SUM(J4:O4)</f>
        <v>524</v>
      </c>
      <c r="Q4" s="53">
        <f>P4/(4*2)</f>
        <v>65.5</v>
      </c>
      <c r="R4" s="128"/>
    </row>
    <row r="5" spans="1:26" x14ac:dyDescent="0.35">
      <c r="A5" s="37" t="s">
        <v>17</v>
      </c>
      <c r="B5" s="38">
        <v>6</v>
      </c>
      <c r="C5" s="39">
        <v>8</v>
      </c>
      <c r="D5" s="38">
        <v>9</v>
      </c>
      <c r="E5" s="39">
        <v>8</v>
      </c>
      <c r="F5" s="38">
        <f t="shared" si="0"/>
        <v>31</v>
      </c>
      <c r="G5" s="40">
        <f t="shared" si="1"/>
        <v>7.75</v>
      </c>
      <c r="H5" s="129"/>
      <c r="I5" s="53" t="s">
        <v>41</v>
      </c>
      <c r="J5" s="58">
        <f>SUM(J3:J4)</f>
        <v>65</v>
      </c>
      <c r="K5" s="58">
        <f t="shared" ref="K5:O5" si="2">SUM(K3:K4)</f>
        <v>89</v>
      </c>
      <c r="L5" s="58">
        <f t="shared" si="2"/>
        <v>111</v>
      </c>
      <c r="M5" s="58">
        <f t="shared" si="2"/>
        <v>139</v>
      </c>
      <c r="N5" s="58">
        <f t="shared" si="2"/>
        <v>171</v>
      </c>
      <c r="O5" s="58">
        <f t="shared" si="2"/>
        <v>225</v>
      </c>
      <c r="P5" s="60">
        <f>SUM(P3:P4)</f>
        <v>800</v>
      </c>
      <c r="Q5" s="61"/>
      <c r="R5" s="128"/>
      <c r="S5" s="53" t="s">
        <v>46</v>
      </c>
      <c r="T5" s="53" t="s">
        <v>61</v>
      </c>
      <c r="U5" s="53" t="s">
        <v>47</v>
      </c>
      <c r="V5" s="53" t="s">
        <v>48</v>
      </c>
      <c r="X5" s="53" t="s">
        <v>46</v>
      </c>
      <c r="Y5" s="53" t="s">
        <v>61</v>
      </c>
      <c r="Z5" s="53" t="s">
        <v>48</v>
      </c>
    </row>
    <row r="6" spans="1:26" x14ac:dyDescent="0.35">
      <c r="A6" s="37" t="s">
        <v>18</v>
      </c>
      <c r="B6" s="38">
        <v>13</v>
      </c>
      <c r="C6" s="39">
        <v>15</v>
      </c>
      <c r="D6" s="38">
        <v>15</v>
      </c>
      <c r="E6" s="39">
        <v>15</v>
      </c>
      <c r="F6" s="38">
        <f t="shared" si="0"/>
        <v>58</v>
      </c>
      <c r="G6" s="40">
        <f t="shared" si="1"/>
        <v>14.5</v>
      </c>
      <c r="I6" s="56" t="s">
        <v>59</v>
      </c>
      <c r="J6" s="53">
        <f>J5/(4*6)</f>
        <v>2.7083333333333335</v>
      </c>
      <c r="K6" s="53">
        <f t="shared" ref="K6:O6" si="3">K5/(4*6)</f>
        <v>3.7083333333333335</v>
      </c>
      <c r="L6" s="53">
        <f t="shared" si="3"/>
        <v>4.625</v>
      </c>
      <c r="M6" s="53">
        <f t="shared" si="3"/>
        <v>5.791666666666667</v>
      </c>
      <c r="N6" s="53">
        <f t="shared" si="3"/>
        <v>7.125</v>
      </c>
      <c r="O6" s="53">
        <f t="shared" si="3"/>
        <v>9.375</v>
      </c>
      <c r="S6" s="45" t="s">
        <v>10</v>
      </c>
      <c r="T6" s="53">
        <v>2.7083333333333335</v>
      </c>
      <c r="U6" s="47">
        <f>T6+U3</f>
        <v>3.9336617331919186</v>
      </c>
      <c r="V6" s="53" t="s">
        <v>49</v>
      </c>
      <c r="X6" s="45" t="s">
        <v>10</v>
      </c>
      <c r="Y6" s="53">
        <v>2.7083333333333335</v>
      </c>
      <c r="Z6" s="53" t="s">
        <v>49</v>
      </c>
    </row>
    <row r="7" spans="1:26" x14ac:dyDescent="0.35">
      <c r="A7" s="37" t="s">
        <v>19</v>
      </c>
      <c r="B7" s="38">
        <v>8</v>
      </c>
      <c r="C7" s="39">
        <v>10</v>
      </c>
      <c r="D7" s="38">
        <v>11</v>
      </c>
      <c r="E7" s="39">
        <v>9</v>
      </c>
      <c r="F7" s="38">
        <f t="shared" si="0"/>
        <v>38</v>
      </c>
      <c r="G7" s="40">
        <f t="shared" si="1"/>
        <v>9.5</v>
      </c>
      <c r="I7" s="54" t="s">
        <v>42</v>
      </c>
      <c r="J7" s="57">
        <f>P5^2/6*2*4</f>
        <v>853333.33333333337</v>
      </c>
      <c r="S7" s="45" t="s">
        <v>5</v>
      </c>
      <c r="T7" s="53">
        <v>3.7083333333333335</v>
      </c>
      <c r="U7" s="47"/>
      <c r="V7" s="53" t="s">
        <v>49</v>
      </c>
      <c r="X7" s="45" t="s">
        <v>5</v>
      </c>
      <c r="Y7" s="53">
        <v>3.7083333333333335</v>
      </c>
      <c r="Z7" s="53" t="s">
        <v>49</v>
      </c>
    </row>
    <row r="8" spans="1:26" x14ac:dyDescent="0.35">
      <c r="A8" s="37" t="s">
        <v>20</v>
      </c>
      <c r="B8" s="38">
        <v>17</v>
      </c>
      <c r="C8" s="39">
        <v>19</v>
      </c>
      <c r="D8" s="38">
        <v>20</v>
      </c>
      <c r="E8" s="39">
        <v>17</v>
      </c>
      <c r="F8" s="38">
        <f t="shared" si="0"/>
        <v>73</v>
      </c>
      <c r="G8" s="40">
        <f t="shared" si="1"/>
        <v>18.25</v>
      </c>
      <c r="I8" s="55" t="s">
        <v>43</v>
      </c>
      <c r="J8" s="55">
        <f>SQRT(D24)/G16*100</f>
        <v>8.5146931829631995</v>
      </c>
      <c r="S8" s="45" t="s">
        <v>6</v>
      </c>
      <c r="T8" s="53">
        <v>4.625</v>
      </c>
      <c r="U8" s="47">
        <f>T8+U3</f>
        <v>5.8503283998585847</v>
      </c>
      <c r="V8" s="53" t="s">
        <v>62</v>
      </c>
      <c r="X8" s="45" t="s">
        <v>6</v>
      </c>
      <c r="Y8" s="53">
        <v>4.625</v>
      </c>
      <c r="Z8" s="53" t="s">
        <v>62</v>
      </c>
    </row>
    <row r="9" spans="1:26" x14ac:dyDescent="0.35">
      <c r="A9" s="37" t="s">
        <v>21</v>
      </c>
      <c r="B9" s="38">
        <v>10</v>
      </c>
      <c r="C9" s="39">
        <v>12</v>
      </c>
      <c r="D9" s="38">
        <v>11</v>
      </c>
      <c r="E9" s="39">
        <v>11</v>
      </c>
      <c r="F9" s="38">
        <f t="shared" si="0"/>
        <v>44</v>
      </c>
      <c r="G9" s="40">
        <f t="shared" si="1"/>
        <v>11</v>
      </c>
      <c r="K9" s="28"/>
      <c r="L9" t="s">
        <v>54</v>
      </c>
      <c r="S9" s="45" t="s">
        <v>7</v>
      </c>
      <c r="T9" s="53">
        <v>5.791666666666667</v>
      </c>
      <c r="U9" s="53"/>
      <c r="V9" s="53" t="s">
        <v>62</v>
      </c>
      <c r="X9" s="45" t="s">
        <v>7</v>
      </c>
      <c r="Y9" s="53">
        <v>5.791666666666667</v>
      </c>
      <c r="Z9" s="53" t="s">
        <v>62</v>
      </c>
    </row>
    <row r="10" spans="1:26" x14ac:dyDescent="0.35">
      <c r="A10" s="37" t="s">
        <v>22</v>
      </c>
      <c r="B10" s="38">
        <v>21</v>
      </c>
      <c r="C10" s="39">
        <v>23</v>
      </c>
      <c r="D10" s="38">
        <v>24</v>
      </c>
      <c r="E10" s="39">
        <v>27</v>
      </c>
      <c r="F10" s="38">
        <f t="shared" si="0"/>
        <v>95</v>
      </c>
      <c r="G10" s="40">
        <f t="shared" si="1"/>
        <v>23.75</v>
      </c>
      <c r="K10" s="28"/>
      <c r="L10">
        <v>6</v>
      </c>
      <c r="M10" t="s">
        <v>56</v>
      </c>
      <c r="S10" s="45" t="s">
        <v>8</v>
      </c>
      <c r="T10" s="53">
        <v>7.125</v>
      </c>
      <c r="U10" s="53">
        <f>T10+U3</f>
        <v>8.3503283998585847</v>
      </c>
      <c r="V10" s="53" t="s">
        <v>64</v>
      </c>
      <c r="X10" s="45" t="s">
        <v>8</v>
      </c>
      <c r="Y10" s="53">
        <v>7.125</v>
      </c>
      <c r="Z10" s="53" t="s">
        <v>64</v>
      </c>
    </row>
    <row r="11" spans="1:26" x14ac:dyDescent="0.35">
      <c r="A11" s="37" t="s">
        <v>23</v>
      </c>
      <c r="B11" s="38">
        <v>15</v>
      </c>
      <c r="C11" s="39">
        <v>17</v>
      </c>
      <c r="D11" s="38">
        <v>16</v>
      </c>
      <c r="E11" s="39">
        <v>15</v>
      </c>
      <c r="F11" s="38">
        <f t="shared" si="0"/>
        <v>63</v>
      </c>
      <c r="G11" s="40">
        <f t="shared" si="1"/>
        <v>15.75</v>
      </c>
      <c r="K11" s="28"/>
      <c r="L11">
        <v>2</v>
      </c>
      <c r="M11" t="s">
        <v>57</v>
      </c>
      <c r="S11" s="45" t="s">
        <v>9</v>
      </c>
      <c r="T11" s="53">
        <v>9.375</v>
      </c>
      <c r="U11" s="53"/>
      <c r="V11" s="53" t="s">
        <v>65</v>
      </c>
      <c r="X11" s="45" t="s">
        <v>9</v>
      </c>
      <c r="Y11" s="53">
        <v>9.375</v>
      </c>
      <c r="Z11" s="53" t="s">
        <v>65</v>
      </c>
    </row>
    <row r="12" spans="1:26" x14ac:dyDescent="0.35">
      <c r="A12" s="37" t="s">
        <v>24</v>
      </c>
      <c r="B12" s="38">
        <v>26</v>
      </c>
      <c r="C12" s="39">
        <v>28</v>
      </c>
      <c r="D12" s="38">
        <v>27</v>
      </c>
      <c r="E12" s="39">
        <v>27</v>
      </c>
      <c r="F12" s="38">
        <f t="shared" si="0"/>
        <v>108</v>
      </c>
      <c r="G12" s="40">
        <f t="shared" si="1"/>
        <v>27</v>
      </c>
      <c r="H12" s="29"/>
      <c r="L12">
        <v>4</v>
      </c>
      <c r="M12" t="s">
        <v>58</v>
      </c>
      <c r="S12" s="28"/>
      <c r="T12" s="28"/>
      <c r="X12" s="28"/>
      <c r="Y12" s="62"/>
    </row>
    <row r="13" spans="1:26" x14ac:dyDescent="0.35">
      <c r="A13" s="37" t="s">
        <v>25</v>
      </c>
      <c r="B13" s="38">
        <v>18</v>
      </c>
      <c r="C13" s="39">
        <v>20</v>
      </c>
      <c r="D13" s="38">
        <v>19</v>
      </c>
      <c r="E13" s="39">
        <v>23</v>
      </c>
      <c r="F13" s="38">
        <f t="shared" si="0"/>
        <v>80</v>
      </c>
      <c r="G13" s="40">
        <f t="shared" si="1"/>
        <v>20</v>
      </c>
      <c r="L13">
        <v>12</v>
      </c>
      <c r="M13" t="s">
        <v>55</v>
      </c>
      <c r="S13" s="53" t="s">
        <v>44</v>
      </c>
      <c r="T13" s="53" t="s">
        <v>68</v>
      </c>
      <c r="U13" s="53" t="s">
        <v>45</v>
      </c>
      <c r="X13" s="28"/>
      <c r="Y13" s="62"/>
    </row>
    <row r="14" spans="1:26" ht="15" thickBot="1" x14ac:dyDescent="0.4">
      <c r="A14" s="41" t="s">
        <v>26</v>
      </c>
      <c r="B14" s="42">
        <v>35</v>
      </c>
      <c r="C14" s="43">
        <v>37</v>
      </c>
      <c r="D14" s="42">
        <v>36</v>
      </c>
      <c r="E14" s="43">
        <v>37</v>
      </c>
      <c r="F14" s="42">
        <f t="shared" si="0"/>
        <v>145</v>
      </c>
      <c r="G14" s="44">
        <f t="shared" si="1"/>
        <v>36.25</v>
      </c>
      <c r="S14" s="53">
        <f>SQRT(D24/(4*2))</f>
        <v>0.50173310744967892</v>
      </c>
      <c r="T14" s="53">
        <v>2.86</v>
      </c>
      <c r="U14" s="53">
        <f>S14*T14</f>
        <v>1.4349566873060817</v>
      </c>
    </row>
    <row r="15" spans="1:26" x14ac:dyDescent="0.35">
      <c r="A15" s="45" t="s">
        <v>27</v>
      </c>
      <c r="B15" s="59">
        <f>SUM(B3:B14)</f>
        <v>182</v>
      </c>
      <c r="C15" s="59">
        <f t="shared" ref="C15:E15" si="4">SUM(C3:C14)</f>
        <v>206</v>
      </c>
      <c r="D15" s="59">
        <f t="shared" si="4"/>
        <v>206</v>
      </c>
      <c r="E15" s="59">
        <f t="shared" si="4"/>
        <v>206</v>
      </c>
      <c r="F15" s="59">
        <f>SUM(F3:F14)</f>
        <v>800</v>
      </c>
    </row>
    <row r="16" spans="1:26" x14ac:dyDescent="0.35">
      <c r="A16" s="45" t="s">
        <v>28</v>
      </c>
      <c r="B16" s="47">
        <f>AVERAGE(B3:B14)</f>
        <v>15.166666666666666</v>
      </c>
      <c r="C16" s="47">
        <f>AVERAGE(C3:C14)</f>
        <v>17.166666666666668</v>
      </c>
      <c r="D16" s="47">
        <f>AVERAGE(D3:D14)</f>
        <v>17.166666666666668</v>
      </c>
      <c r="E16" s="47">
        <f t="shared" ref="E16" si="5">AVERAGE(E3:E14)</f>
        <v>17.166666666666668</v>
      </c>
      <c r="F16" s="47"/>
      <c r="G16" s="47">
        <f>AVERAGE(B3:E14)</f>
        <v>16.666666666666668</v>
      </c>
      <c r="S16" s="53" t="s">
        <v>66</v>
      </c>
      <c r="T16" s="53" t="s">
        <v>67</v>
      </c>
      <c r="U16" s="53" t="s">
        <v>47</v>
      </c>
      <c r="V16" s="53" t="s">
        <v>48</v>
      </c>
      <c r="X16" s="53" t="s">
        <v>66</v>
      </c>
      <c r="Y16" s="53" t="s">
        <v>67</v>
      </c>
      <c r="Z16" s="53" t="s">
        <v>48</v>
      </c>
    </row>
    <row r="17" spans="1:26" x14ac:dyDescent="0.35">
      <c r="S17" s="53" t="s">
        <v>50</v>
      </c>
      <c r="T17" s="53">
        <v>34.5</v>
      </c>
      <c r="U17" s="47">
        <f>T17+U14</f>
        <v>35.934956687306084</v>
      </c>
      <c r="V17" s="53" t="s">
        <v>49</v>
      </c>
      <c r="X17" s="53" t="s">
        <v>50</v>
      </c>
      <c r="Y17" s="47">
        <v>34.5</v>
      </c>
      <c r="Z17" s="53" t="str">
        <f>V17</f>
        <v>a</v>
      </c>
    </row>
    <row r="18" spans="1:26" x14ac:dyDescent="0.35">
      <c r="A18" s="48" t="s">
        <v>29</v>
      </c>
      <c r="B18" s="49"/>
      <c r="S18" s="53" t="s">
        <v>51</v>
      </c>
      <c r="T18" s="53">
        <v>65.5</v>
      </c>
      <c r="U18" s="47">
        <f>T18+U14</f>
        <v>66.934956687306084</v>
      </c>
      <c r="V18" s="53" t="s">
        <v>62</v>
      </c>
      <c r="X18" s="53" t="s">
        <v>51</v>
      </c>
      <c r="Y18" s="47">
        <v>65.5</v>
      </c>
      <c r="Z18" s="53" t="str">
        <f t="shared" ref="Z18" si="6">V18</f>
        <v>b</v>
      </c>
    </row>
    <row r="19" spans="1:26" x14ac:dyDescent="0.35">
      <c r="A19" s="45" t="s">
        <v>30</v>
      </c>
      <c r="B19" s="45" t="s">
        <v>31</v>
      </c>
      <c r="C19" s="45" t="s">
        <v>32</v>
      </c>
      <c r="D19" s="45" t="s">
        <v>33</v>
      </c>
      <c r="E19" s="45" t="s">
        <v>34</v>
      </c>
      <c r="F19" s="45" t="s">
        <v>35</v>
      </c>
      <c r="G19" s="45" t="s">
        <v>36</v>
      </c>
    </row>
    <row r="20" spans="1:26" x14ac:dyDescent="0.35">
      <c r="A20" s="45" t="s">
        <v>46</v>
      </c>
      <c r="B20" s="45">
        <f>12-1</f>
        <v>11</v>
      </c>
      <c r="C20" s="50">
        <f>SUMSQ(F3:F14)/4-J7</f>
        <v>-836447.83333333337</v>
      </c>
      <c r="D20" s="50">
        <f t="shared" ref="D20:D23" si="7">C20/B20</f>
        <v>-76040.712121212127</v>
      </c>
      <c r="E20" s="50">
        <f>ABS(D20/$D$24)</f>
        <v>37758.146708463952</v>
      </c>
      <c r="F20" s="50">
        <f>FINV(5%,B20,B24)</f>
        <v>2.0666084782375198</v>
      </c>
      <c r="G20" s="45" t="str">
        <f>IF(E20&gt;F20,"*","NS")</f>
        <v>*</v>
      </c>
      <c r="S20" s="53" t="s">
        <v>44</v>
      </c>
      <c r="T20" s="53" t="s">
        <v>69</v>
      </c>
      <c r="U20" s="53" t="s">
        <v>45</v>
      </c>
    </row>
    <row r="21" spans="1:26" ht="15.5" x14ac:dyDescent="0.35">
      <c r="A21" s="45" t="s">
        <v>38</v>
      </c>
      <c r="B21" s="45">
        <f>6-1</f>
        <v>5</v>
      </c>
      <c r="C21" s="50">
        <f>SUMSQ(J5:O5)/12-J7</f>
        <v>-843028.83333333337</v>
      </c>
      <c r="D21" s="50">
        <f t="shared" si="7"/>
        <v>-168605.76666666666</v>
      </c>
      <c r="E21" s="50">
        <f>ABS(D21/$D$24)</f>
        <v>83721.484137931038</v>
      </c>
      <c r="F21" s="50">
        <f>FINV(5%,B21,B24)</f>
        <v>2.4771686727109157</v>
      </c>
      <c r="G21" s="45" t="str">
        <f>IF(E21&gt;F21,"*","NS")</f>
        <v>*</v>
      </c>
      <c r="H21" s="77" t="s">
        <v>93</v>
      </c>
      <c r="S21" s="53">
        <f>SQRT(D24/(4*6*2))</f>
        <v>0.20483168338545313</v>
      </c>
      <c r="T21" s="53">
        <v>4.9000000000000004</v>
      </c>
      <c r="U21" s="53">
        <f>S21*T21</f>
        <v>1.0036752485887204</v>
      </c>
    </row>
    <row r="22" spans="1:26" ht="15.5" x14ac:dyDescent="0.35">
      <c r="A22" s="45" t="s">
        <v>39</v>
      </c>
      <c r="B22" s="45">
        <f>2-1</f>
        <v>1</v>
      </c>
      <c r="C22" s="50">
        <f>SUMSQ(P3:P4)/12-J7</f>
        <v>-824104</v>
      </c>
      <c r="D22" s="50">
        <f t="shared" si="7"/>
        <v>-824104</v>
      </c>
      <c r="E22" s="50">
        <f>ABS(D22/$D$24)</f>
        <v>409210.26206896553</v>
      </c>
      <c r="F22" s="50">
        <f>FINV(5%,B22,B24)</f>
        <v>4.1131652768128939</v>
      </c>
      <c r="G22" s="45" t="str">
        <f>IF(E22&gt;F22,"*","NS")</f>
        <v>*</v>
      </c>
      <c r="H22" s="77" t="s">
        <v>93</v>
      </c>
    </row>
    <row r="23" spans="1:26" ht="15.5" x14ac:dyDescent="0.35">
      <c r="A23" s="45" t="s">
        <v>52</v>
      </c>
      <c r="B23" s="45">
        <f>B21*B22</f>
        <v>5</v>
      </c>
      <c r="C23" s="50">
        <f>C20-C21-C22</f>
        <v>830685</v>
      </c>
      <c r="D23" s="50">
        <f t="shared" si="7"/>
        <v>166137</v>
      </c>
      <c r="E23" s="50">
        <f>ABS(D23/$D$24)</f>
        <v>82495.613793103446</v>
      </c>
      <c r="F23" s="50">
        <f>FINV(5%,B23,B24)</f>
        <v>2.4771686727109157</v>
      </c>
      <c r="G23" s="45" t="str">
        <f>IF(E23&gt;F23,"*","NS")</f>
        <v>*</v>
      </c>
      <c r="H23" s="77" t="s">
        <v>93</v>
      </c>
    </row>
    <row r="24" spans="1:26" x14ac:dyDescent="0.35">
      <c r="A24" s="45" t="s">
        <v>37</v>
      </c>
      <c r="B24" s="46">
        <f>B25-B20</f>
        <v>36</v>
      </c>
      <c r="C24" s="50">
        <f>C25-C20</f>
        <v>72.5</v>
      </c>
      <c r="D24" s="50">
        <f>C24/B24</f>
        <v>2.0138888888888888</v>
      </c>
      <c r="E24" s="51"/>
      <c r="F24" s="51"/>
      <c r="G24" s="28"/>
      <c r="S24" s="53" t="s">
        <v>46</v>
      </c>
      <c r="T24" s="53" t="s">
        <v>53</v>
      </c>
      <c r="U24" s="53" t="s">
        <v>47</v>
      </c>
      <c r="V24" s="53" t="s">
        <v>48</v>
      </c>
      <c r="X24" s="53" t="s">
        <v>46</v>
      </c>
      <c r="Y24" s="53" t="s">
        <v>53</v>
      </c>
      <c r="Z24" s="53" t="s">
        <v>48</v>
      </c>
    </row>
    <row r="25" spans="1:26" x14ac:dyDescent="0.35">
      <c r="A25" s="45" t="s">
        <v>13</v>
      </c>
      <c r="B25" s="46">
        <f>6*2*4-1</f>
        <v>47</v>
      </c>
      <c r="C25" s="50">
        <f>SUMSQ(B3:E14)-J7</f>
        <v>-836375.33333333337</v>
      </c>
      <c r="D25" s="51"/>
      <c r="E25" s="51"/>
      <c r="F25" s="51"/>
      <c r="G25" s="28"/>
      <c r="S25" s="53" t="s">
        <v>15</v>
      </c>
      <c r="T25" s="47">
        <v>5</v>
      </c>
      <c r="U25" s="47">
        <f>T25+U21</f>
        <v>6.0036752485887206</v>
      </c>
      <c r="V25" s="53" t="s">
        <v>49</v>
      </c>
      <c r="X25" s="53" t="s">
        <v>15</v>
      </c>
      <c r="Y25" s="47">
        <v>5</v>
      </c>
      <c r="Z25" s="53" t="s">
        <v>49</v>
      </c>
    </row>
    <row r="26" spans="1:26" x14ac:dyDescent="0.35">
      <c r="S26" s="53" t="s">
        <v>17</v>
      </c>
      <c r="T26" s="47">
        <v>7.75</v>
      </c>
      <c r="U26" s="47">
        <f>T26+$U$21</f>
        <v>8.7536752485887206</v>
      </c>
      <c r="V26" s="53" t="s">
        <v>62</v>
      </c>
      <c r="X26" s="53" t="s">
        <v>16</v>
      </c>
      <c r="Y26" s="53">
        <v>11.25</v>
      </c>
      <c r="Z26" s="53" t="s">
        <v>65</v>
      </c>
    </row>
    <row r="27" spans="1:26" x14ac:dyDescent="0.35">
      <c r="S27" s="53" t="s">
        <v>19</v>
      </c>
      <c r="T27" s="53">
        <v>9.5</v>
      </c>
      <c r="U27" s="47">
        <f>T27+$U$21</f>
        <v>10.503675248588721</v>
      </c>
      <c r="V27" s="53" t="s">
        <v>64</v>
      </c>
      <c r="X27" s="53" t="s">
        <v>17</v>
      </c>
      <c r="Y27" s="47">
        <v>7.75</v>
      </c>
      <c r="Z27" s="53" t="s">
        <v>62</v>
      </c>
    </row>
    <row r="28" spans="1:26" x14ac:dyDescent="0.35">
      <c r="S28" s="53" t="s">
        <v>21</v>
      </c>
      <c r="T28" s="53">
        <v>11</v>
      </c>
      <c r="U28" s="47">
        <f>T28+$U$21</f>
        <v>12.003675248588721</v>
      </c>
      <c r="V28" s="53" t="s">
        <v>65</v>
      </c>
      <c r="X28" s="53" t="s">
        <v>18</v>
      </c>
      <c r="Y28" s="53">
        <v>14.5</v>
      </c>
      <c r="Z28" s="53" t="s">
        <v>70</v>
      </c>
    </row>
    <row r="29" spans="1:26" x14ac:dyDescent="0.35">
      <c r="S29" s="53" t="s">
        <v>16</v>
      </c>
      <c r="T29" s="47">
        <v>11.25</v>
      </c>
      <c r="U29" s="47"/>
      <c r="V29" s="53" t="s">
        <v>65</v>
      </c>
      <c r="X29" s="53" t="s">
        <v>19</v>
      </c>
      <c r="Y29" s="47">
        <v>9.5</v>
      </c>
      <c r="Z29" s="53" t="s">
        <v>64</v>
      </c>
    </row>
    <row r="30" spans="1:26" x14ac:dyDescent="0.35">
      <c r="S30" s="53" t="s">
        <v>18</v>
      </c>
      <c r="T30" s="53">
        <v>14.5</v>
      </c>
      <c r="U30" s="47">
        <f t="shared" ref="U30:U36" si="8">T30+$U$21</f>
        <v>15.503675248588721</v>
      </c>
      <c r="V30" s="53" t="s">
        <v>70</v>
      </c>
      <c r="X30" s="53" t="s">
        <v>20</v>
      </c>
      <c r="Y30" s="53">
        <v>18.25</v>
      </c>
      <c r="Z30" s="53" t="s">
        <v>72</v>
      </c>
    </row>
    <row r="31" spans="1:26" x14ac:dyDescent="0.35">
      <c r="S31" s="53" t="s">
        <v>23</v>
      </c>
      <c r="T31" s="53">
        <v>15.75</v>
      </c>
      <c r="U31" s="47">
        <f t="shared" si="8"/>
        <v>16.753675248588721</v>
      </c>
      <c r="V31" s="53" t="s">
        <v>71</v>
      </c>
      <c r="X31" s="53" t="s">
        <v>21</v>
      </c>
      <c r="Y31" s="53">
        <v>11</v>
      </c>
      <c r="Z31" s="53" t="s">
        <v>65</v>
      </c>
    </row>
    <row r="32" spans="1:26" x14ac:dyDescent="0.35">
      <c r="S32" s="53" t="s">
        <v>20</v>
      </c>
      <c r="T32" s="53">
        <v>18.25</v>
      </c>
      <c r="U32" s="47">
        <f t="shared" si="8"/>
        <v>19.253675248588721</v>
      </c>
      <c r="V32" s="53" t="s">
        <v>72</v>
      </c>
      <c r="X32" s="53" t="s">
        <v>22</v>
      </c>
      <c r="Y32" s="53">
        <v>23.75</v>
      </c>
      <c r="Z32" s="53" t="s">
        <v>74</v>
      </c>
    </row>
    <row r="33" spans="2:26" x14ac:dyDescent="0.35">
      <c r="L33" s="127"/>
      <c r="M33" s="30"/>
      <c r="S33" s="53" t="s">
        <v>25</v>
      </c>
      <c r="T33" s="53">
        <v>20</v>
      </c>
      <c r="U33" s="47">
        <f t="shared" si="8"/>
        <v>21.003675248588721</v>
      </c>
      <c r="V33" s="53" t="s">
        <v>73</v>
      </c>
      <c r="X33" s="53" t="s">
        <v>23</v>
      </c>
      <c r="Y33" s="53">
        <v>15.75</v>
      </c>
      <c r="Z33" s="53" t="s">
        <v>71</v>
      </c>
    </row>
    <row r="34" spans="2:26" x14ac:dyDescent="0.35">
      <c r="L34" s="127"/>
      <c r="M34" s="30"/>
      <c r="N34" s="30"/>
      <c r="O34" s="30"/>
      <c r="P34" s="10"/>
      <c r="S34" s="53" t="s">
        <v>22</v>
      </c>
      <c r="T34" s="53">
        <v>23.75</v>
      </c>
      <c r="U34" s="47">
        <f t="shared" si="8"/>
        <v>24.753675248588721</v>
      </c>
      <c r="V34" s="53" t="s">
        <v>74</v>
      </c>
      <c r="X34" s="53" t="s">
        <v>24</v>
      </c>
      <c r="Y34" s="53">
        <v>27</v>
      </c>
      <c r="Z34" s="53" t="s">
        <v>75</v>
      </c>
    </row>
    <row r="35" spans="2:26" x14ac:dyDescent="0.35">
      <c r="L35" s="28"/>
      <c r="M35" s="28"/>
      <c r="N35" s="30"/>
      <c r="O35" s="30"/>
      <c r="P35" s="10"/>
      <c r="Q35" s="10"/>
      <c r="S35" s="53" t="s">
        <v>24</v>
      </c>
      <c r="T35" s="53">
        <v>27</v>
      </c>
      <c r="U35" s="47">
        <f t="shared" si="8"/>
        <v>28.003675248588721</v>
      </c>
      <c r="V35" s="53" t="s">
        <v>75</v>
      </c>
      <c r="X35" s="53" t="s">
        <v>25</v>
      </c>
      <c r="Y35" s="53">
        <v>20</v>
      </c>
      <c r="Z35" s="53" t="s">
        <v>73</v>
      </c>
    </row>
    <row r="36" spans="2:26" x14ac:dyDescent="0.35">
      <c r="L36" s="28"/>
      <c r="M36" s="28"/>
      <c r="N36" s="28"/>
      <c r="O36" s="28"/>
      <c r="P36" s="27"/>
      <c r="Q36" s="10"/>
      <c r="S36" s="53" t="s">
        <v>26</v>
      </c>
      <c r="T36" s="53">
        <v>36.25</v>
      </c>
      <c r="U36" s="47">
        <f t="shared" si="8"/>
        <v>37.253675248588721</v>
      </c>
      <c r="V36" s="53" t="s">
        <v>76</v>
      </c>
      <c r="X36" s="53" t="s">
        <v>26</v>
      </c>
      <c r="Y36" s="53">
        <v>36.25</v>
      </c>
      <c r="Z36" s="53" t="s">
        <v>76</v>
      </c>
    </row>
    <row r="37" spans="2:26" x14ac:dyDescent="0.35">
      <c r="L37" s="28"/>
      <c r="M37" s="28"/>
      <c r="N37" s="28"/>
      <c r="O37" s="28"/>
      <c r="P37" s="27"/>
      <c r="Q37" s="27"/>
    </row>
    <row r="38" spans="2:26" x14ac:dyDescent="0.35">
      <c r="L38" s="28"/>
      <c r="M38" s="28"/>
      <c r="N38" s="28"/>
      <c r="O38" s="28"/>
      <c r="P38" s="27"/>
      <c r="Q38" s="27"/>
      <c r="R38" s="10"/>
    </row>
    <row r="39" spans="2:26" x14ac:dyDescent="0.35">
      <c r="L39" s="28"/>
      <c r="M39" s="28"/>
      <c r="N39" s="28"/>
      <c r="O39" s="28"/>
      <c r="P39" s="27"/>
      <c r="Q39" s="27"/>
      <c r="R39" s="10"/>
    </row>
    <row r="40" spans="2:26" x14ac:dyDescent="0.35">
      <c r="L40" s="28"/>
      <c r="M40" s="28"/>
      <c r="N40" s="28"/>
      <c r="O40" s="28"/>
      <c r="P40" s="27"/>
      <c r="Q40" s="27"/>
      <c r="R40" s="27"/>
    </row>
    <row r="41" spans="2:26" x14ac:dyDescent="0.35">
      <c r="N41" s="28"/>
      <c r="O41" s="28"/>
      <c r="P41" s="27"/>
      <c r="Q41" s="27"/>
      <c r="R41" s="27"/>
    </row>
    <row r="42" spans="2:26" x14ac:dyDescent="0.35">
      <c r="Q42" s="27"/>
      <c r="R42" s="27"/>
    </row>
    <row r="43" spans="2:26" x14ac:dyDescent="0.35">
      <c r="L43" s="127"/>
      <c r="M43" s="30"/>
      <c r="R43" s="27"/>
    </row>
    <row r="44" spans="2:26" x14ac:dyDescent="0.35">
      <c r="I44" s="127"/>
      <c r="L44" s="127"/>
      <c r="M44" s="30"/>
      <c r="N44" s="30"/>
      <c r="O44" s="30"/>
      <c r="P44" s="10"/>
      <c r="R44" s="27"/>
    </row>
    <row r="45" spans="2:26" x14ac:dyDescent="0.35">
      <c r="I45" s="127"/>
      <c r="L45" s="28"/>
      <c r="M45" s="28"/>
      <c r="N45" s="30"/>
      <c r="O45" s="30"/>
      <c r="P45" s="10"/>
      <c r="Q45" s="10"/>
      <c r="R45" s="27"/>
    </row>
    <row r="46" spans="2:26" x14ac:dyDescent="0.35">
      <c r="L46" s="28"/>
      <c r="M46" s="28"/>
      <c r="N46" s="28"/>
      <c r="O46" s="28"/>
      <c r="P46" s="27"/>
      <c r="Q46" s="10"/>
    </row>
    <row r="47" spans="2:26" x14ac:dyDescent="0.35">
      <c r="B47" s="129"/>
      <c r="C47" s="127"/>
      <c r="D47" s="130"/>
      <c r="E47" s="130"/>
      <c r="F47" s="130"/>
      <c r="G47" s="130"/>
      <c r="L47" s="28"/>
      <c r="M47" s="28"/>
      <c r="N47" s="28"/>
      <c r="O47" s="28"/>
      <c r="P47" s="27"/>
      <c r="Q47" s="27"/>
    </row>
    <row r="48" spans="2:26" x14ac:dyDescent="0.35">
      <c r="B48" s="129"/>
      <c r="C48" s="127"/>
      <c r="D48" s="10"/>
      <c r="E48" s="10"/>
      <c r="F48" s="10"/>
      <c r="G48" s="10"/>
      <c r="H48" s="129"/>
      <c r="L48" s="28"/>
      <c r="M48" s="28"/>
      <c r="N48" s="28"/>
      <c r="O48" s="28"/>
      <c r="P48" s="27"/>
      <c r="Q48" s="27"/>
      <c r="R48" s="10"/>
    </row>
    <row r="49" spans="2:21" x14ac:dyDescent="0.35">
      <c r="B49" s="128"/>
      <c r="C49" s="28"/>
      <c r="D49" s="27"/>
      <c r="E49" s="27"/>
      <c r="F49" s="27"/>
      <c r="G49" s="27"/>
      <c r="H49" s="129"/>
      <c r="L49" s="28"/>
      <c r="M49" s="28"/>
      <c r="N49" s="28"/>
      <c r="O49" s="28"/>
      <c r="P49" s="27"/>
      <c r="Q49" s="27"/>
      <c r="R49" s="10"/>
    </row>
    <row r="50" spans="2:21" x14ac:dyDescent="0.35">
      <c r="B50" s="128"/>
      <c r="C50" s="28"/>
      <c r="D50" s="27"/>
      <c r="E50" s="27"/>
      <c r="F50" s="27"/>
      <c r="G50" s="27"/>
      <c r="L50" s="28"/>
      <c r="M50" s="28"/>
      <c r="N50" s="28"/>
      <c r="O50" s="28"/>
      <c r="P50" s="27"/>
      <c r="Q50" s="27"/>
      <c r="R50" s="27"/>
    </row>
    <row r="51" spans="2:21" x14ac:dyDescent="0.35">
      <c r="B51" s="128"/>
      <c r="C51" s="28"/>
      <c r="D51" s="27"/>
      <c r="E51" s="27"/>
      <c r="F51" s="27"/>
      <c r="G51" s="27"/>
      <c r="N51" s="28"/>
      <c r="O51" s="28"/>
      <c r="P51" s="27"/>
      <c r="Q51" s="27"/>
      <c r="R51" s="27"/>
    </row>
    <row r="52" spans="2:21" x14ac:dyDescent="0.35">
      <c r="B52" s="128"/>
      <c r="C52" s="28"/>
      <c r="D52" s="27"/>
      <c r="E52" s="27"/>
      <c r="F52" s="27"/>
      <c r="G52" s="27"/>
      <c r="Q52" s="27"/>
      <c r="R52" s="27"/>
    </row>
    <row r="53" spans="2:21" x14ac:dyDescent="0.35">
      <c r="B53" s="128"/>
      <c r="C53" s="28"/>
      <c r="D53" s="27"/>
      <c r="E53" s="27"/>
      <c r="F53" s="27"/>
      <c r="G53" s="27"/>
      <c r="L53" s="127"/>
      <c r="M53" s="30"/>
      <c r="R53" s="27"/>
    </row>
    <row r="54" spans="2:21" x14ac:dyDescent="0.35">
      <c r="B54" s="128"/>
      <c r="C54" s="28"/>
      <c r="D54" s="27"/>
      <c r="E54" s="27"/>
      <c r="F54" s="27"/>
      <c r="G54" s="27"/>
      <c r="I54" s="127"/>
      <c r="L54" s="127"/>
      <c r="M54" s="30"/>
      <c r="N54" s="30"/>
      <c r="O54" s="30"/>
      <c r="P54" s="10"/>
      <c r="R54" s="27"/>
    </row>
    <row r="55" spans="2:21" x14ac:dyDescent="0.35">
      <c r="I55" s="127"/>
      <c r="L55" s="28"/>
      <c r="M55" s="28"/>
      <c r="N55" s="30"/>
      <c r="O55" s="30"/>
      <c r="P55" s="10"/>
      <c r="Q55" s="10"/>
      <c r="R55" s="27"/>
    </row>
    <row r="56" spans="2:21" x14ac:dyDescent="0.35">
      <c r="L56" s="28"/>
      <c r="M56" s="28"/>
      <c r="N56" s="28"/>
      <c r="O56" s="28"/>
      <c r="P56" s="27"/>
      <c r="Q56" s="10"/>
      <c r="S56" s="10"/>
      <c r="T56" s="129"/>
      <c r="U56" s="127"/>
    </row>
    <row r="57" spans="2:21" x14ac:dyDescent="0.35">
      <c r="B57" s="129"/>
      <c r="C57" s="127"/>
      <c r="D57" s="130"/>
      <c r="E57" s="130"/>
      <c r="F57" s="130"/>
      <c r="G57" s="130"/>
      <c r="L57" s="28"/>
      <c r="M57" s="28"/>
      <c r="N57" s="28"/>
      <c r="O57" s="28"/>
      <c r="P57" s="27"/>
      <c r="Q57" s="27"/>
      <c r="S57" s="10"/>
      <c r="T57" s="129"/>
      <c r="U57" s="127"/>
    </row>
    <row r="58" spans="2:21" x14ac:dyDescent="0.35">
      <c r="B58" s="129"/>
      <c r="C58" s="127"/>
      <c r="D58" s="10"/>
      <c r="E58" s="10"/>
      <c r="F58" s="10"/>
      <c r="G58" s="10"/>
      <c r="H58" s="129"/>
      <c r="L58" s="28"/>
      <c r="M58" s="28"/>
      <c r="N58" s="28"/>
      <c r="O58" s="28"/>
      <c r="P58" s="27"/>
      <c r="Q58" s="27"/>
      <c r="R58" s="10"/>
      <c r="S58" s="27"/>
    </row>
    <row r="59" spans="2:21" x14ac:dyDescent="0.35">
      <c r="B59" s="128"/>
      <c r="C59" s="28"/>
      <c r="D59" s="27"/>
      <c r="E59" s="27"/>
      <c r="F59" s="27"/>
      <c r="G59" s="27"/>
      <c r="H59" s="129"/>
      <c r="L59" s="28"/>
      <c r="M59" s="28"/>
      <c r="N59" s="28"/>
      <c r="O59" s="28"/>
      <c r="P59" s="27"/>
      <c r="Q59" s="27"/>
      <c r="R59" s="10"/>
      <c r="S59" s="27"/>
    </row>
    <row r="60" spans="2:21" x14ac:dyDescent="0.35">
      <c r="B60" s="128"/>
      <c r="C60" s="28"/>
      <c r="D60" s="27"/>
      <c r="E60" s="27"/>
      <c r="F60" s="27"/>
      <c r="G60" s="27"/>
      <c r="L60" s="28"/>
      <c r="M60" s="28"/>
      <c r="N60" s="28"/>
      <c r="O60" s="28"/>
      <c r="P60" s="27"/>
      <c r="Q60" s="27"/>
      <c r="R60" s="27"/>
      <c r="S60" s="27"/>
    </row>
    <row r="61" spans="2:21" x14ac:dyDescent="0.35">
      <c r="B61" s="128"/>
      <c r="C61" s="28"/>
      <c r="D61" s="27"/>
      <c r="E61" s="27"/>
      <c r="F61" s="27"/>
      <c r="G61" s="27"/>
      <c r="N61" s="28"/>
      <c r="O61" s="28"/>
      <c r="P61" s="27"/>
      <c r="Q61" s="27"/>
      <c r="R61" s="27"/>
      <c r="S61" s="27"/>
    </row>
    <row r="62" spans="2:21" x14ac:dyDescent="0.35">
      <c r="B62" s="128"/>
      <c r="C62" s="28"/>
      <c r="D62" s="27"/>
      <c r="E62" s="27"/>
      <c r="F62" s="27"/>
      <c r="G62" s="27"/>
      <c r="Q62" s="27"/>
      <c r="R62" s="27"/>
      <c r="S62" s="27"/>
    </row>
    <row r="63" spans="2:21" x14ac:dyDescent="0.35">
      <c r="B63" s="128"/>
      <c r="C63" s="28"/>
      <c r="D63" s="27"/>
      <c r="E63" s="27"/>
      <c r="F63" s="27"/>
      <c r="G63" s="27"/>
      <c r="R63" s="27"/>
      <c r="S63" s="27"/>
    </row>
    <row r="64" spans="2:21" x14ac:dyDescent="0.35">
      <c r="B64" s="128"/>
      <c r="C64" s="28"/>
      <c r="D64" s="27"/>
      <c r="E64" s="27"/>
      <c r="F64" s="27"/>
      <c r="G64" s="27"/>
      <c r="R64" s="27"/>
    </row>
    <row r="65" spans="2:21" x14ac:dyDescent="0.35">
      <c r="L65" s="127"/>
      <c r="M65" s="30"/>
      <c r="R65" s="27"/>
    </row>
    <row r="66" spans="2:21" x14ac:dyDescent="0.35">
      <c r="I66" s="127"/>
      <c r="L66" s="127"/>
      <c r="M66" s="30"/>
      <c r="N66" s="30"/>
      <c r="O66" s="30"/>
      <c r="P66" s="10"/>
      <c r="S66" s="10"/>
      <c r="T66" s="129"/>
      <c r="U66" s="127"/>
    </row>
    <row r="67" spans="2:21" x14ac:dyDescent="0.35">
      <c r="I67" s="127"/>
      <c r="L67" s="28"/>
      <c r="M67" s="28"/>
      <c r="N67" s="30"/>
      <c r="O67" s="30"/>
      <c r="P67" s="10"/>
      <c r="Q67" s="10"/>
      <c r="S67" s="10"/>
      <c r="T67" s="129"/>
      <c r="U67" s="127"/>
    </row>
    <row r="68" spans="2:21" x14ac:dyDescent="0.35">
      <c r="L68" s="28"/>
      <c r="M68" s="28"/>
      <c r="N68" s="28"/>
      <c r="O68" s="28"/>
      <c r="P68" s="27"/>
      <c r="Q68" s="10"/>
      <c r="S68" s="27"/>
    </row>
    <row r="69" spans="2:21" x14ac:dyDescent="0.35">
      <c r="B69" s="129"/>
      <c r="C69" s="127"/>
      <c r="D69" s="130"/>
      <c r="E69" s="130"/>
      <c r="F69" s="130"/>
      <c r="G69" s="130"/>
      <c r="L69" s="28"/>
      <c r="M69" s="28"/>
      <c r="N69" s="28"/>
      <c r="O69" s="28"/>
      <c r="P69" s="27"/>
      <c r="Q69" s="27"/>
      <c r="S69" s="27"/>
    </row>
    <row r="70" spans="2:21" x14ac:dyDescent="0.35">
      <c r="B70" s="129"/>
      <c r="C70" s="127"/>
      <c r="D70" s="10"/>
      <c r="E70" s="10"/>
      <c r="F70" s="10"/>
      <c r="G70" s="10"/>
      <c r="H70" s="129"/>
      <c r="L70" s="28"/>
      <c r="M70" s="28"/>
      <c r="N70" s="28"/>
      <c r="O70" s="28"/>
      <c r="P70" s="27"/>
      <c r="Q70" s="27"/>
      <c r="R70" s="10"/>
      <c r="S70" s="27"/>
    </row>
    <row r="71" spans="2:21" x14ac:dyDescent="0.35">
      <c r="B71" s="128"/>
      <c r="C71" s="28"/>
      <c r="D71" s="27"/>
      <c r="E71" s="27"/>
      <c r="F71" s="27"/>
      <c r="G71" s="27"/>
      <c r="H71" s="129"/>
      <c r="L71" s="28"/>
      <c r="M71" s="28"/>
      <c r="N71" s="28"/>
      <c r="O71" s="28"/>
      <c r="P71" s="27"/>
      <c r="Q71" s="27"/>
      <c r="R71" s="10"/>
      <c r="S71" s="27"/>
    </row>
    <row r="72" spans="2:21" x14ac:dyDescent="0.35">
      <c r="B72" s="128"/>
      <c r="C72" s="28"/>
      <c r="D72" s="27"/>
      <c r="E72" s="27"/>
      <c r="F72" s="27"/>
      <c r="G72" s="27"/>
      <c r="L72" s="28"/>
      <c r="M72" s="28"/>
      <c r="N72" s="28"/>
      <c r="O72" s="28"/>
      <c r="P72" s="27"/>
      <c r="Q72" s="27"/>
      <c r="R72" s="27"/>
      <c r="S72" s="27"/>
    </row>
    <row r="73" spans="2:21" x14ac:dyDescent="0.35">
      <c r="B73" s="128"/>
      <c r="C73" s="28"/>
      <c r="D73" s="27"/>
      <c r="E73" s="27"/>
      <c r="F73" s="27"/>
      <c r="G73" s="27"/>
      <c r="N73" s="28"/>
      <c r="O73" s="28"/>
      <c r="P73" s="27"/>
      <c r="Q73" s="27"/>
      <c r="R73" s="27"/>
      <c r="S73" s="27"/>
    </row>
    <row r="74" spans="2:21" x14ac:dyDescent="0.35">
      <c r="B74" s="128"/>
      <c r="C74" s="28"/>
      <c r="D74" s="27"/>
      <c r="E74" s="27"/>
      <c r="F74" s="27"/>
      <c r="G74" s="27"/>
      <c r="Q74" s="27"/>
      <c r="R74" s="27"/>
    </row>
    <row r="75" spans="2:21" x14ac:dyDescent="0.35">
      <c r="B75" s="128"/>
      <c r="C75" s="28"/>
      <c r="D75" s="27"/>
      <c r="E75" s="27"/>
      <c r="F75" s="27"/>
      <c r="G75" s="27"/>
      <c r="R75" s="27"/>
    </row>
    <row r="76" spans="2:21" x14ac:dyDescent="0.35">
      <c r="B76" s="128"/>
      <c r="C76" s="28"/>
      <c r="D76" s="27"/>
      <c r="E76" s="27"/>
      <c r="F76" s="27"/>
      <c r="G76" s="27"/>
      <c r="R76" s="27"/>
      <c r="S76" s="10"/>
      <c r="T76" s="129"/>
      <c r="U76" s="127"/>
    </row>
    <row r="77" spans="2:21" x14ac:dyDescent="0.35">
      <c r="R77" s="27"/>
      <c r="S77" s="10"/>
      <c r="T77" s="129"/>
      <c r="U77" s="127"/>
    </row>
    <row r="78" spans="2:21" x14ac:dyDescent="0.35">
      <c r="S78" s="27"/>
    </row>
    <row r="79" spans="2:21" x14ac:dyDescent="0.35">
      <c r="S79" s="27"/>
    </row>
    <row r="80" spans="2:21" x14ac:dyDescent="0.35">
      <c r="S80" s="27"/>
    </row>
    <row r="81" spans="19:21" x14ac:dyDescent="0.35">
      <c r="S81" s="27"/>
    </row>
    <row r="82" spans="19:21" x14ac:dyDescent="0.35">
      <c r="S82" s="27"/>
    </row>
    <row r="83" spans="19:21" x14ac:dyDescent="0.35">
      <c r="S83" s="27"/>
    </row>
    <row r="88" spans="19:21" x14ac:dyDescent="0.35">
      <c r="S88" s="10"/>
      <c r="T88" s="129"/>
      <c r="U88" s="127"/>
    </row>
    <row r="89" spans="19:21" x14ac:dyDescent="0.35">
      <c r="S89" s="10"/>
      <c r="T89" s="129"/>
      <c r="U89" s="127"/>
    </row>
    <row r="90" spans="19:21" x14ac:dyDescent="0.35">
      <c r="S90" s="27"/>
    </row>
    <row r="91" spans="19:21" x14ac:dyDescent="0.35">
      <c r="S91" s="27"/>
    </row>
    <row r="92" spans="19:21" x14ac:dyDescent="0.35">
      <c r="S92" s="27"/>
    </row>
    <row r="93" spans="19:21" x14ac:dyDescent="0.35">
      <c r="S93" s="27"/>
    </row>
    <row r="94" spans="19:21" x14ac:dyDescent="0.35">
      <c r="S94" s="27"/>
    </row>
    <row r="95" spans="19:21" x14ac:dyDescent="0.35">
      <c r="S95" s="27"/>
    </row>
  </sheetData>
  <sortState xmlns:xlrd2="http://schemas.microsoft.com/office/spreadsheetml/2017/richdata2" ref="X25:Z36">
    <sortCondition ref="X25:X36"/>
  </sortState>
  <mergeCells count="36">
    <mergeCell ref="B47:B48"/>
    <mergeCell ref="C47:C48"/>
    <mergeCell ref="D47:G47"/>
    <mergeCell ref="H48:H49"/>
    <mergeCell ref="H4:H5"/>
    <mergeCell ref="D57:G57"/>
    <mergeCell ref="H58:H59"/>
    <mergeCell ref="I54:I55"/>
    <mergeCell ref="B69:B70"/>
    <mergeCell ref="C69:C70"/>
    <mergeCell ref="D69:G69"/>
    <mergeCell ref="H70:H71"/>
    <mergeCell ref="I66:I67"/>
    <mergeCell ref="B49:B54"/>
    <mergeCell ref="B59:B64"/>
    <mergeCell ref="B71:B76"/>
    <mergeCell ref="B57:B58"/>
    <mergeCell ref="C57:C58"/>
    <mergeCell ref="R4:R5"/>
    <mergeCell ref="L65:L66"/>
    <mergeCell ref="T88:T89"/>
    <mergeCell ref="U88:U89"/>
    <mergeCell ref="U66:U67"/>
    <mergeCell ref="U56:U57"/>
    <mergeCell ref="U76:U77"/>
    <mergeCell ref="L33:L34"/>
    <mergeCell ref="T56:T57"/>
    <mergeCell ref="L53:L54"/>
    <mergeCell ref="T76:T77"/>
    <mergeCell ref="L43:L44"/>
    <mergeCell ref="T66:T67"/>
    <mergeCell ref="A1:A2"/>
    <mergeCell ref="B1:E1"/>
    <mergeCell ref="F1:F2"/>
    <mergeCell ref="G1:G2"/>
    <mergeCell ref="I44:I45"/>
  </mergeCells>
  <phoneticPr fontId="4" type="noConversion"/>
  <pageMargins left="0.7" right="0.7" top="0.75" bottom="0.75" header="0.3" footer="0.3"/>
  <ignoredErrors>
    <ignoredError sqref="B15:E15 B16 E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Dataset</vt:lpstr>
      <vt:lpstr>Tinggi M2</vt:lpstr>
      <vt:lpstr>Tinggi M4</vt:lpstr>
      <vt:lpstr>Tinggi M6</vt:lpstr>
      <vt:lpstr>Tinggi M8</vt:lpstr>
      <vt:lpstr>Tinggi M10</vt:lpstr>
      <vt:lpstr>Tinggi M12</vt:lpstr>
      <vt:lpstr>Tinggi M14</vt:lpstr>
      <vt:lpstr>Tinggi M16</vt:lpstr>
      <vt:lpstr>Daun M2</vt:lpstr>
      <vt:lpstr>Daun M4</vt:lpstr>
      <vt:lpstr>Daun M6</vt:lpstr>
      <vt:lpstr>Daun M8</vt:lpstr>
      <vt:lpstr>Daun M10</vt:lpstr>
      <vt:lpstr>Daun M12</vt:lpstr>
      <vt:lpstr>Daun M14</vt:lpstr>
      <vt:lpstr>Daun M16</vt:lpstr>
      <vt:lpstr>BNJ Umur</vt:lpstr>
      <vt:lpstr>BNJ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2023-10-29T04:12:00Z</dcterms:created>
  <dcterms:modified xsi:type="dcterms:W3CDTF">2023-11-21T08:10:02Z</dcterms:modified>
</cp:coreProperties>
</file>