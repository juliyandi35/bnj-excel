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BNJ\"/>
    </mc:Choice>
  </mc:AlternateContent>
  <xr:revisionPtr revIDLastSave="0" documentId="13_ncr:1_{6C63AA69-87EE-4B02-92AD-194900416076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Data Keseluruhan" sheetId="1" r:id="rId1"/>
    <sheet name="DIAMETER" sheetId="2" r:id="rId2"/>
    <sheet name="TINGGI" sheetId="3" r:id="rId3"/>
    <sheet name="JUMLAH DAUN" sheetId="4" r:id="rId4"/>
    <sheet name="JUMLAH ANAKAN" sheetId="5" r:id="rId5"/>
  </sheets>
  <calcPr calcId="191029"/>
</workbook>
</file>

<file path=xl/calcChain.xml><?xml version="1.0" encoding="utf-8"?>
<calcChain xmlns="http://schemas.openxmlformats.org/spreadsheetml/2006/main">
  <c r="K21" i="5" l="1"/>
  <c r="R9" i="3"/>
  <c r="L17" i="3"/>
  <c r="L23" i="3"/>
  <c r="L18" i="3"/>
  <c r="K22" i="3"/>
  <c r="K3" i="3"/>
  <c r="Y48" i="4"/>
  <c r="Z48" i="4"/>
  <c r="X44" i="4"/>
  <c r="Z44" i="4" s="1"/>
  <c r="R48" i="4"/>
  <c r="R50" i="4"/>
  <c r="O53" i="4"/>
  <c r="R49" i="4"/>
  <c r="R44" i="4"/>
  <c r="S44" i="4"/>
  <c r="R46" i="4"/>
  <c r="R45" i="4"/>
  <c r="L97" i="3"/>
  <c r="K102" i="3"/>
  <c r="K101" i="3"/>
  <c r="O93" i="3"/>
  <c r="N92" i="3"/>
  <c r="K93" i="3"/>
  <c r="K92" i="3"/>
  <c r="L98" i="3"/>
  <c r="X84" i="4"/>
  <c r="Y55" i="4"/>
  <c r="Y54" i="4"/>
  <c r="Y53" i="4"/>
  <c r="Y50" i="4"/>
  <c r="Y49" i="4"/>
  <c r="V44" i="4"/>
  <c r="V45" i="4"/>
  <c r="V46" i="4"/>
  <c r="T48" i="4"/>
  <c r="S48" i="4"/>
  <c r="V86" i="4"/>
  <c r="V85" i="4"/>
  <c r="V84" i="4"/>
  <c r="T88" i="4"/>
  <c r="S88" i="4"/>
  <c r="R88" i="4"/>
  <c r="Y15" i="5"/>
  <c r="Y14" i="5"/>
  <c r="Y13" i="5"/>
  <c r="X4" i="5"/>
  <c r="T8" i="5"/>
  <c r="S8" i="5"/>
  <c r="R8" i="5"/>
  <c r="V6" i="5"/>
  <c r="Y10" i="5" s="1"/>
  <c r="V5" i="5"/>
  <c r="Y9" i="5" s="1"/>
  <c r="V4" i="5"/>
  <c r="Y8" i="5" s="1"/>
  <c r="Z4" i="5"/>
  <c r="T8" i="2"/>
  <c r="S8" i="2"/>
  <c r="R8" i="2"/>
  <c r="K62" i="5"/>
  <c r="K59" i="5"/>
  <c r="K58" i="5"/>
  <c r="K60" i="5" s="1"/>
  <c r="K57" i="5"/>
  <c r="K56" i="5"/>
  <c r="L50" i="5"/>
  <c r="M49" i="5"/>
  <c r="L49" i="5"/>
  <c r="N49" i="5" s="1"/>
  <c r="T44" i="5" s="1"/>
  <c r="K49" i="5"/>
  <c r="K48" i="5"/>
  <c r="M46" i="5"/>
  <c r="L46" i="5"/>
  <c r="K45" i="5"/>
  <c r="M44" i="5"/>
  <c r="L44" i="5"/>
  <c r="L43" i="5"/>
  <c r="K11" i="5"/>
  <c r="K9" i="5"/>
  <c r="N9" i="5" s="1"/>
  <c r="T4" i="5" s="1"/>
  <c r="K5" i="5"/>
  <c r="K3" i="5"/>
  <c r="K13" i="5" s="1"/>
  <c r="L10" i="5"/>
  <c r="L5" i="5"/>
  <c r="L3" i="5"/>
  <c r="M11" i="5"/>
  <c r="M6" i="5"/>
  <c r="M5" i="5"/>
  <c r="M4" i="5"/>
  <c r="K23" i="5"/>
  <c r="K20" i="5"/>
  <c r="K19" i="5"/>
  <c r="K18" i="5"/>
  <c r="K17" i="5"/>
  <c r="H79" i="5"/>
  <c r="G79" i="5"/>
  <c r="H78" i="5"/>
  <c r="M48" i="5" s="1"/>
  <c r="G78" i="5"/>
  <c r="H77" i="5"/>
  <c r="M47" i="5" s="1"/>
  <c r="G77" i="5"/>
  <c r="H76" i="5"/>
  <c r="M45" i="5" s="1"/>
  <c r="G76" i="5"/>
  <c r="H75" i="5"/>
  <c r="G75" i="5"/>
  <c r="H74" i="5"/>
  <c r="M42" i="5" s="1"/>
  <c r="G74" i="5"/>
  <c r="H73" i="5"/>
  <c r="G73" i="5"/>
  <c r="H72" i="5"/>
  <c r="M43" i="5" s="1"/>
  <c r="G72" i="5"/>
  <c r="H71" i="5"/>
  <c r="M50" i="5" s="1"/>
  <c r="G71" i="5"/>
  <c r="H66" i="5"/>
  <c r="G66" i="5"/>
  <c r="H65" i="5"/>
  <c r="L48" i="5" s="1"/>
  <c r="G65" i="5"/>
  <c r="H64" i="5"/>
  <c r="G64" i="5"/>
  <c r="H63" i="5"/>
  <c r="G63" i="5"/>
  <c r="H62" i="5"/>
  <c r="G62" i="5"/>
  <c r="H61" i="5"/>
  <c r="L45" i="5" s="1"/>
  <c r="G61" i="5"/>
  <c r="H60" i="5"/>
  <c r="L47" i="5" s="1"/>
  <c r="G60" i="5"/>
  <c r="H59" i="5"/>
  <c r="L42" i="5" s="1"/>
  <c r="G59" i="5"/>
  <c r="H58" i="5"/>
  <c r="G58" i="5"/>
  <c r="H53" i="5"/>
  <c r="G53" i="5"/>
  <c r="H52" i="5"/>
  <c r="K50" i="5" s="1"/>
  <c r="G52" i="5"/>
  <c r="H51" i="5"/>
  <c r="K42" i="5" s="1"/>
  <c r="G51" i="5"/>
  <c r="H50" i="5"/>
  <c r="K46" i="5" s="1"/>
  <c r="O46" i="5" s="1"/>
  <c r="G50" i="5"/>
  <c r="H49" i="5"/>
  <c r="K43" i="5" s="1"/>
  <c r="G49" i="5"/>
  <c r="H48" i="5"/>
  <c r="K44" i="5" s="1"/>
  <c r="O44" i="5" s="1"/>
  <c r="G48" i="5"/>
  <c r="H47" i="5"/>
  <c r="K47" i="5" s="1"/>
  <c r="O47" i="5" s="1"/>
  <c r="G47" i="5"/>
  <c r="H46" i="5"/>
  <c r="G46" i="5"/>
  <c r="H45" i="5"/>
  <c r="G45" i="5"/>
  <c r="H39" i="5"/>
  <c r="M9" i="5" s="1"/>
  <c r="G39" i="5"/>
  <c r="H38" i="5"/>
  <c r="M8" i="5" s="1"/>
  <c r="G38" i="5"/>
  <c r="H37" i="5"/>
  <c r="G37" i="5"/>
  <c r="H36" i="5"/>
  <c r="M10" i="5" s="1"/>
  <c r="G36" i="5"/>
  <c r="H35" i="5"/>
  <c r="M3" i="5" s="1"/>
  <c r="M13" i="5" s="1"/>
  <c r="G35" i="5"/>
  <c r="H34" i="5"/>
  <c r="G34" i="5"/>
  <c r="H33" i="5"/>
  <c r="G33" i="5"/>
  <c r="H32" i="5"/>
  <c r="G32" i="5"/>
  <c r="H31" i="5"/>
  <c r="M7" i="5" s="1"/>
  <c r="G31" i="5"/>
  <c r="H26" i="5"/>
  <c r="L9" i="5" s="1"/>
  <c r="G26" i="5"/>
  <c r="H25" i="5"/>
  <c r="G25" i="5"/>
  <c r="H24" i="5"/>
  <c r="G24" i="5"/>
  <c r="H23" i="5"/>
  <c r="L7" i="5" s="1"/>
  <c r="G23" i="5"/>
  <c r="H22" i="5"/>
  <c r="L6" i="5" s="1"/>
  <c r="G22" i="5"/>
  <c r="H21" i="5"/>
  <c r="L8" i="5" s="1"/>
  <c r="G21" i="5"/>
  <c r="H20" i="5"/>
  <c r="G20" i="5"/>
  <c r="H19" i="5"/>
  <c r="L11" i="5" s="1"/>
  <c r="N11" i="5" s="1"/>
  <c r="T6" i="5" s="1"/>
  <c r="G19" i="5"/>
  <c r="H18" i="5"/>
  <c r="L4" i="5" s="1"/>
  <c r="G18" i="5"/>
  <c r="H13" i="5"/>
  <c r="G13" i="5"/>
  <c r="H12" i="5"/>
  <c r="G12" i="5"/>
  <c r="H11" i="5"/>
  <c r="K7" i="5" s="1"/>
  <c r="N7" i="5" s="1"/>
  <c r="S5" i="5" s="1"/>
  <c r="G11" i="5"/>
  <c r="H10" i="5"/>
  <c r="K4" i="5" s="1"/>
  <c r="G10" i="5"/>
  <c r="H9" i="5"/>
  <c r="G9" i="5"/>
  <c r="H8" i="5"/>
  <c r="K8" i="5" s="1"/>
  <c r="G8" i="5"/>
  <c r="H7" i="5"/>
  <c r="K6" i="5" s="1"/>
  <c r="O6" i="5" s="1"/>
  <c r="G7" i="5"/>
  <c r="H6" i="5"/>
  <c r="K10" i="5" s="1"/>
  <c r="N10" i="5" s="1"/>
  <c r="T5" i="5" s="1"/>
  <c r="G6" i="5"/>
  <c r="H5" i="5"/>
  <c r="G5" i="5"/>
  <c r="K103" i="4"/>
  <c r="K100" i="4"/>
  <c r="K99" i="4"/>
  <c r="K98" i="4"/>
  <c r="K97" i="4"/>
  <c r="K63" i="4"/>
  <c r="K60" i="4"/>
  <c r="K59" i="4"/>
  <c r="K58" i="4"/>
  <c r="K57" i="4"/>
  <c r="K23" i="4"/>
  <c r="K20" i="4"/>
  <c r="K19" i="4"/>
  <c r="K18" i="4"/>
  <c r="K22" i="4" s="1"/>
  <c r="K17" i="4"/>
  <c r="H119" i="4"/>
  <c r="M89" i="4" s="1"/>
  <c r="G119" i="4"/>
  <c r="H118" i="4"/>
  <c r="M88" i="4" s="1"/>
  <c r="G118" i="4"/>
  <c r="H117" i="4"/>
  <c r="M86" i="4" s="1"/>
  <c r="G117" i="4"/>
  <c r="H116" i="4"/>
  <c r="M90" i="4" s="1"/>
  <c r="G116" i="4"/>
  <c r="H115" i="4"/>
  <c r="M83" i="4" s="1"/>
  <c r="G115" i="4"/>
  <c r="H114" i="4"/>
  <c r="M85" i="4" s="1"/>
  <c r="G114" i="4"/>
  <c r="H113" i="4"/>
  <c r="M84" i="4" s="1"/>
  <c r="G113" i="4"/>
  <c r="H112" i="4"/>
  <c r="M91" i="4" s="1"/>
  <c r="G112" i="4"/>
  <c r="H111" i="4"/>
  <c r="M87" i="4" s="1"/>
  <c r="G111" i="4"/>
  <c r="H106" i="4"/>
  <c r="L89" i="4" s="1"/>
  <c r="G106" i="4"/>
  <c r="H105" i="4"/>
  <c r="L85" i="4" s="1"/>
  <c r="G105" i="4"/>
  <c r="H104" i="4"/>
  <c r="L90" i="4" s="1"/>
  <c r="G104" i="4"/>
  <c r="H103" i="4"/>
  <c r="L87" i="4" s="1"/>
  <c r="G103" i="4"/>
  <c r="H102" i="4"/>
  <c r="L86" i="4" s="1"/>
  <c r="G102" i="4"/>
  <c r="H101" i="4"/>
  <c r="L88" i="4" s="1"/>
  <c r="G101" i="4"/>
  <c r="H100" i="4"/>
  <c r="L83" i="4" s="1"/>
  <c r="G100" i="4"/>
  <c r="H99" i="4"/>
  <c r="L91" i="4" s="1"/>
  <c r="G99" i="4"/>
  <c r="H98" i="4"/>
  <c r="L84" i="4" s="1"/>
  <c r="G98" i="4"/>
  <c r="H93" i="4"/>
  <c r="K91" i="4" s="1"/>
  <c r="G93" i="4"/>
  <c r="H92" i="4"/>
  <c r="K83" i="4" s="1"/>
  <c r="G92" i="4"/>
  <c r="H91" i="4"/>
  <c r="K87" i="4" s="1"/>
  <c r="O87" i="4" s="1"/>
  <c r="G91" i="4"/>
  <c r="H90" i="4"/>
  <c r="K84" i="4" s="1"/>
  <c r="G90" i="4"/>
  <c r="H89" i="4"/>
  <c r="K85" i="4" s="1"/>
  <c r="G89" i="4"/>
  <c r="H88" i="4"/>
  <c r="K88" i="4" s="1"/>
  <c r="G88" i="4"/>
  <c r="H87" i="4"/>
  <c r="K86" i="4" s="1"/>
  <c r="G87" i="4"/>
  <c r="H86" i="4"/>
  <c r="K90" i="4" s="1"/>
  <c r="G86" i="4"/>
  <c r="H85" i="4"/>
  <c r="K89" i="4" s="1"/>
  <c r="G85" i="4"/>
  <c r="H79" i="4"/>
  <c r="M49" i="4" s="1"/>
  <c r="G79" i="4"/>
  <c r="H78" i="4"/>
  <c r="M48" i="4" s="1"/>
  <c r="G78" i="4"/>
  <c r="H77" i="4"/>
  <c r="M46" i="4" s="1"/>
  <c r="G77" i="4"/>
  <c r="H76" i="4"/>
  <c r="M50" i="4" s="1"/>
  <c r="G76" i="4"/>
  <c r="H75" i="4"/>
  <c r="M43" i="4" s="1"/>
  <c r="G75" i="4"/>
  <c r="H74" i="4"/>
  <c r="M45" i="4" s="1"/>
  <c r="G74" i="4"/>
  <c r="H73" i="4"/>
  <c r="M44" i="4" s="1"/>
  <c r="G73" i="4"/>
  <c r="H72" i="4"/>
  <c r="M51" i="4" s="1"/>
  <c r="G72" i="4"/>
  <c r="H71" i="4"/>
  <c r="M47" i="4" s="1"/>
  <c r="G71" i="4"/>
  <c r="H66" i="4"/>
  <c r="L49" i="4" s="1"/>
  <c r="G66" i="4"/>
  <c r="H65" i="4"/>
  <c r="L45" i="4" s="1"/>
  <c r="G65" i="4"/>
  <c r="H64" i="4"/>
  <c r="L50" i="4" s="1"/>
  <c r="G64" i="4"/>
  <c r="H63" i="4"/>
  <c r="L47" i="4" s="1"/>
  <c r="G63" i="4"/>
  <c r="H62" i="4"/>
  <c r="L46" i="4" s="1"/>
  <c r="G62" i="4"/>
  <c r="H61" i="4"/>
  <c r="L48" i="4" s="1"/>
  <c r="G61" i="4"/>
  <c r="H60" i="4"/>
  <c r="L43" i="4" s="1"/>
  <c r="G60" i="4"/>
  <c r="H59" i="4"/>
  <c r="L51" i="4" s="1"/>
  <c r="G59" i="4"/>
  <c r="H58" i="4"/>
  <c r="L44" i="4" s="1"/>
  <c r="G58" i="4"/>
  <c r="H53" i="4"/>
  <c r="K51" i="4" s="1"/>
  <c r="G53" i="4"/>
  <c r="H52" i="4"/>
  <c r="K43" i="4" s="1"/>
  <c r="G52" i="4"/>
  <c r="H51" i="4"/>
  <c r="K47" i="4" s="1"/>
  <c r="O47" i="4" s="1"/>
  <c r="G51" i="4"/>
  <c r="H50" i="4"/>
  <c r="K44" i="4" s="1"/>
  <c r="G50" i="4"/>
  <c r="H49" i="4"/>
  <c r="K45" i="4" s="1"/>
  <c r="G49" i="4"/>
  <c r="H48" i="4"/>
  <c r="K48" i="4" s="1"/>
  <c r="G48" i="4"/>
  <c r="H47" i="4"/>
  <c r="K46" i="4" s="1"/>
  <c r="G47" i="4"/>
  <c r="H46" i="4"/>
  <c r="K50" i="4" s="1"/>
  <c r="G46" i="4"/>
  <c r="H45" i="4"/>
  <c r="K49" i="4" s="1"/>
  <c r="G45" i="4"/>
  <c r="H39" i="4"/>
  <c r="M9" i="4" s="1"/>
  <c r="G39" i="4"/>
  <c r="H38" i="4"/>
  <c r="M8" i="4" s="1"/>
  <c r="G38" i="4"/>
  <c r="H37" i="4"/>
  <c r="M6" i="4" s="1"/>
  <c r="G37" i="4"/>
  <c r="H36" i="4"/>
  <c r="M10" i="4" s="1"/>
  <c r="G36" i="4"/>
  <c r="H35" i="4"/>
  <c r="M3" i="4" s="1"/>
  <c r="G35" i="4"/>
  <c r="H34" i="4"/>
  <c r="M5" i="4" s="1"/>
  <c r="G34" i="4"/>
  <c r="H33" i="4"/>
  <c r="M4" i="4" s="1"/>
  <c r="G33" i="4"/>
  <c r="H32" i="4"/>
  <c r="M11" i="4" s="1"/>
  <c r="G32" i="4"/>
  <c r="H31" i="4"/>
  <c r="M7" i="4" s="1"/>
  <c r="G31" i="4"/>
  <c r="H26" i="4"/>
  <c r="L9" i="4" s="1"/>
  <c r="G26" i="4"/>
  <c r="H25" i="4"/>
  <c r="L5" i="4" s="1"/>
  <c r="G25" i="4"/>
  <c r="H24" i="4"/>
  <c r="L10" i="4" s="1"/>
  <c r="G24" i="4"/>
  <c r="H23" i="4"/>
  <c r="L7" i="4" s="1"/>
  <c r="G23" i="4"/>
  <c r="H22" i="4"/>
  <c r="L6" i="4" s="1"/>
  <c r="G22" i="4"/>
  <c r="H21" i="4"/>
  <c r="L8" i="4" s="1"/>
  <c r="G21" i="4"/>
  <c r="H20" i="4"/>
  <c r="L3" i="4" s="1"/>
  <c r="G20" i="4"/>
  <c r="H19" i="4"/>
  <c r="L11" i="4" s="1"/>
  <c r="G19" i="4"/>
  <c r="H18" i="4"/>
  <c r="L4" i="4" s="1"/>
  <c r="G18" i="4"/>
  <c r="H13" i="4"/>
  <c r="K11" i="4" s="1"/>
  <c r="G13" i="4"/>
  <c r="H12" i="4"/>
  <c r="K3" i="4" s="1"/>
  <c r="G12" i="4"/>
  <c r="H11" i="4"/>
  <c r="K7" i="4" s="1"/>
  <c r="G11" i="4"/>
  <c r="H10" i="4"/>
  <c r="K4" i="4" s="1"/>
  <c r="G10" i="4"/>
  <c r="H9" i="4"/>
  <c r="K5" i="4" s="1"/>
  <c r="G9" i="4"/>
  <c r="H8" i="4"/>
  <c r="K8" i="4" s="1"/>
  <c r="G8" i="4"/>
  <c r="H7" i="4"/>
  <c r="K6" i="4" s="1"/>
  <c r="G7" i="4"/>
  <c r="H6" i="4"/>
  <c r="K10" i="4" s="1"/>
  <c r="G6" i="4"/>
  <c r="H5" i="4"/>
  <c r="K9" i="4" s="1"/>
  <c r="G5" i="4"/>
  <c r="K87" i="3"/>
  <c r="K86" i="3"/>
  <c r="L89" i="3"/>
  <c r="L88" i="3"/>
  <c r="L87" i="3"/>
  <c r="L86" i="3"/>
  <c r="M89" i="3"/>
  <c r="M88" i="3"/>
  <c r="M87" i="3"/>
  <c r="M83" i="3"/>
  <c r="K103" i="3"/>
  <c r="K100" i="3"/>
  <c r="K99" i="3"/>
  <c r="K98" i="3"/>
  <c r="K97" i="3"/>
  <c r="L93" i="3"/>
  <c r="M48" i="3"/>
  <c r="M46" i="3"/>
  <c r="M45" i="3"/>
  <c r="L49" i="3"/>
  <c r="O49" i="3" s="1"/>
  <c r="L48" i="3"/>
  <c r="L47" i="3"/>
  <c r="L46" i="3"/>
  <c r="K51" i="3"/>
  <c r="K50" i="3"/>
  <c r="K49" i="3"/>
  <c r="N49" i="3" s="1"/>
  <c r="T44" i="3" s="1"/>
  <c r="K63" i="3"/>
  <c r="K60" i="3"/>
  <c r="K59" i="3"/>
  <c r="K61" i="3" s="1"/>
  <c r="K58" i="3"/>
  <c r="K57" i="3"/>
  <c r="O45" i="3"/>
  <c r="K9" i="3"/>
  <c r="K8" i="3"/>
  <c r="K7" i="3"/>
  <c r="K5" i="3"/>
  <c r="L10" i="3"/>
  <c r="L8" i="3"/>
  <c r="M11" i="3"/>
  <c r="M10" i="3"/>
  <c r="M9" i="3"/>
  <c r="M8" i="3"/>
  <c r="O8" i="3" s="1"/>
  <c r="M6" i="3"/>
  <c r="K23" i="3"/>
  <c r="K20" i="3"/>
  <c r="K19" i="3"/>
  <c r="K18" i="3"/>
  <c r="K17" i="3"/>
  <c r="N3" i="3"/>
  <c r="H119" i="3"/>
  <c r="G119" i="3"/>
  <c r="H118" i="3"/>
  <c r="G118" i="3"/>
  <c r="H117" i="3"/>
  <c r="M86" i="3" s="1"/>
  <c r="G117" i="3"/>
  <c r="H116" i="3"/>
  <c r="M90" i="3" s="1"/>
  <c r="G116" i="3"/>
  <c r="H115" i="3"/>
  <c r="G115" i="3"/>
  <c r="H114" i="3"/>
  <c r="M85" i="3" s="1"/>
  <c r="G114" i="3"/>
  <c r="H113" i="3"/>
  <c r="M84" i="3" s="1"/>
  <c r="M93" i="3" s="1"/>
  <c r="G113" i="3"/>
  <c r="H112" i="3"/>
  <c r="M91" i="3" s="1"/>
  <c r="G112" i="3"/>
  <c r="H111" i="3"/>
  <c r="G111" i="3"/>
  <c r="H106" i="3"/>
  <c r="G106" i="3"/>
  <c r="H105" i="3"/>
  <c r="L85" i="3" s="1"/>
  <c r="G105" i="3"/>
  <c r="H104" i="3"/>
  <c r="L90" i="3" s="1"/>
  <c r="G104" i="3"/>
  <c r="H103" i="3"/>
  <c r="G103" i="3"/>
  <c r="H102" i="3"/>
  <c r="G102" i="3"/>
  <c r="H101" i="3"/>
  <c r="G101" i="3"/>
  <c r="H100" i="3"/>
  <c r="L83" i="3" s="1"/>
  <c r="G100" i="3"/>
  <c r="H99" i="3"/>
  <c r="L91" i="3" s="1"/>
  <c r="G99" i="3"/>
  <c r="H98" i="3"/>
  <c r="L84" i="3" s="1"/>
  <c r="G98" i="3"/>
  <c r="H93" i="3"/>
  <c r="K91" i="3" s="1"/>
  <c r="G93" i="3"/>
  <c r="H92" i="3"/>
  <c r="K83" i="3" s="1"/>
  <c r="G92" i="3"/>
  <c r="H91" i="3"/>
  <c r="G91" i="3"/>
  <c r="H90" i="3"/>
  <c r="K84" i="3" s="1"/>
  <c r="G90" i="3"/>
  <c r="H89" i="3"/>
  <c r="K85" i="3" s="1"/>
  <c r="G89" i="3"/>
  <c r="H88" i="3"/>
  <c r="K88" i="3" s="1"/>
  <c r="O88" i="3" s="1"/>
  <c r="G88" i="3"/>
  <c r="H87" i="3"/>
  <c r="G87" i="3"/>
  <c r="H86" i="3"/>
  <c r="K90" i="3" s="1"/>
  <c r="G86" i="3"/>
  <c r="H85" i="3"/>
  <c r="K89" i="3" s="1"/>
  <c r="N89" i="3" s="1"/>
  <c r="T84" i="3" s="1"/>
  <c r="G85" i="3"/>
  <c r="H79" i="3"/>
  <c r="M49" i="3" s="1"/>
  <c r="G79" i="3"/>
  <c r="H78" i="3"/>
  <c r="G78" i="3"/>
  <c r="H77" i="3"/>
  <c r="G77" i="3"/>
  <c r="H76" i="3"/>
  <c r="M50" i="3" s="1"/>
  <c r="G76" i="3"/>
  <c r="H75" i="3"/>
  <c r="M43" i="3" s="1"/>
  <c r="G75" i="3"/>
  <c r="H74" i="3"/>
  <c r="G74" i="3"/>
  <c r="H73" i="3"/>
  <c r="M44" i="3" s="1"/>
  <c r="G73" i="3"/>
  <c r="H72" i="3"/>
  <c r="M51" i="3" s="1"/>
  <c r="G72" i="3"/>
  <c r="H71" i="3"/>
  <c r="M47" i="3" s="1"/>
  <c r="M53" i="3" s="1"/>
  <c r="G71" i="3"/>
  <c r="H66" i="3"/>
  <c r="G66" i="3"/>
  <c r="H65" i="3"/>
  <c r="L45" i="3" s="1"/>
  <c r="G65" i="3"/>
  <c r="H64" i="3"/>
  <c r="L50" i="3" s="1"/>
  <c r="O50" i="3" s="1"/>
  <c r="G64" i="3"/>
  <c r="H63" i="3"/>
  <c r="G63" i="3"/>
  <c r="H62" i="3"/>
  <c r="G62" i="3"/>
  <c r="H61" i="3"/>
  <c r="G61" i="3"/>
  <c r="H60" i="3"/>
  <c r="L43" i="3" s="1"/>
  <c r="G60" i="3"/>
  <c r="H59" i="3"/>
  <c r="L51" i="3" s="1"/>
  <c r="G59" i="3"/>
  <c r="H58" i="3"/>
  <c r="L44" i="3" s="1"/>
  <c r="G58" i="3"/>
  <c r="H53" i="3"/>
  <c r="G53" i="3"/>
  <c r="H52" i="3"/>
  <c r="K43" i="3" s="1"/>
  <c r="G52" i="3"/>
  <c r="H51" i="3"/>
  <c r="K47" i="3" s="1"/>
  <c r="G51" i="3"/>
  <c r="H50" i="3"/>
  <c r="K44" i="3" s="1"/>
  <c r="G50" i="3"/>
  <c r="H49" i="3"/>
  <c r="K45" i="3" s="1"/>
  <c r="N45" i="3" s="1"/>
  <c r="R46" i="3" s="1"/>
  <c r="G49" i="3"/>
  <c r="H48" i="3"/>
  <c r="K48" i="3" s="1"/>
  <c r="O48" i="3" s="1"/>
  <c r="G48" i="3"/>
  <c r="H47" i="3"/>
  <c r="K46" i="3" s="1"/>
  <c r="G47" i="3"/>
  <c r="H46" i="3"/>
  <c r="G46" i="3"/>
  <c r="H45" i="3"/>
  <c r="G45" i="3"/>
  <c r="H39" i="3"/>
  <c r="G39" i="3"/>
  <c r="H38" i="3"/>
  <c r="G38" i="3"/>
  <c r="H37" i="3"/>
  <c r="G37" i="3"/>
  <c r="H36" i="3"/>
  <c r="G36" i="3"/>
  <c r="H35" i="3"/>
  <c r="M3" i="3" s="1"/>
  <c r="G35" i="3"/>
  <c r="H34" i="3"/>
  <c r="M5" i="3" s="1"/>
  <c r="G34" i="3"/>
  <c r="H33" i="3"/>
  <c r="M4" i="3" s="1"/>
  <c r="G33" i="3"/>
  <c r="H32" i="3"/>
  <c r="G32" i="3"/>
  <c r="H31" i="3"/>
  <c r="M7" i="3" s="1"/>
  <c r="G31" i="3"/>
  <c r="H26" i="3"/>
  <c r="L9" i="3" s="1"/>
  <c r="G26" i="3"/>
  <c r="H25" i="3"/>
  <c r="L5" i="3" s="1"/>
  <c r="G25" i="3"/>
  <c r="H24" i="3"/>
  <c r="G24" i="3"/>
  <c r="H23" i="3"/>
  <c r="L7" i="3" s="1"/>
  <c r="G23" i="3"/>
  <c r="H22" i="3"/>
  <c r="L6" i="3" s="1"/>
  <c r="G22" i="3"/>
  <c r="H21" i="3"/>
  <c r="G21" i="3"/>
  <c r="H20" i="3"/>
  <c r="L3" i="3" s="1"/>
  <c r="G20" i="3"/>
  <c r="H19" i="3"/>
  <c r="L11" i="3" s="1"/>
  <c r="G19" i="3"/>
  <c r="H18" i="3"/>
  <c r="L4" i="3" s="1"/>
  <c r="G18" i="3"/>
  <c r="H13" i="3"/>
  <c r="K11" i="3" s="1"/>
  <c r="N11" i="3" s="1"/>
  <c r="T6" i="3" s="1"/>
  <c r="G13" i="3"/>
  <c r="H12" i="3"/>
  <c r="K13" i="3" s="1"/>
  <c r="G12" i="3"/>
  <c r="H11" i="3"/>
  <c r="G11" i="3"/>
  <c r="H10" i="3"/>
  <c r="K4" i="3" s="1"/>
  <c r="O4" i="3" s="1"/>
  <c r="G10" i="3"/>
  <c r="H9" i="3"/>
  <c r="G9" i="3"/>
  <c r="H8" i="3"/>
  <c r="G8" i="3"/>
  <c r="H7" i="3"/>
  <c r="K6" i="3" s="1"/>
  <c r="G7" i="3"/>
  <c r="H6" i="3"/>
  <c r="K10" i="3" s="1"/>
  <c r="G6" i="3"/>
  <c r="H5" i="3"/>
  <c r="G5" i="3"/>
  <c r="M98" i="2"/>
  <c r="M94" i="2"/>
  <c r="L101" i="2"/>
  <c r="L100" i="2"/>
  <c r="L99" i="2"/>
  <c r="L95" i="2"/>
  <c r="L94" i="2"/>
  <c r="K101" i="2"/>
  <c r="K100" i="2"/>
  <c r="K95" i="2"/>
  <c r="K94" i="2"/>
  <c r="K113" i="2"/>
  <c r="K110" i="2"/>
  <c r="K109" i="2"/>
  <c r="K108" i="2"/>
  <c r="K107" i="2"/>
  <c r="O101" i="2"/>
  <c r="O95" i="2"/>
  <c r="M51" i="2"/>
  <c r="M50" i="2"/>
  <c r="M44" i="2"/>
  <c r="M43" i="2"/>
  <c r="L50" i="2"/>
  <c r="L45" i="2"/>
  <c r="L43" i="2"/>
  <c r="K51" i="2"/>
  <c r="K46" i="2"/>
  <c r="K45" i="2"/>
  <c r="O45" i="2" s="1"/>
  <c r="K43" i="2"/>
  <c r="K4" i="2"/>
  <c r="L11" i="2"/>
  <c r="L10" i="2"/>
  <c r="O10" i="2" s="1"/>
  <c r="L4" i="2"/>
  <c r="L3" i="2"/>
  <c r="M11" i="2"/>
  <c r="M10" i="2"/>
  <c r="M3" i="2"/>
  <c r="K63" i="2"/>
  <c r="K60" i="2"/>
  <c r="K59" i="2"/>
  <c r="K61" i="2" s="1"/>
  <c r="K58" i="2"/>
  <c r="K57" i="2"/>
  <c r="K17" i="2"/>
  <c r="H13" i="2"/>
  <c r="K11" i="2" s="1"/>
  <c r="N11" i="2" s="1"/>
  <c r="T6" i="2" s="1"/>
  <c r="H7" i="2"/>
  <c r="K6" i="2" s="1"/>
  <c r="K23" i="2"/>
  <c r="K22" i="2" s="1"/>
  <c r="O17" i="2" s="1"/>
  <c r="K20" i="2"/>
  <c r="K19" i="2"/>
  <c r="K18" i="2"/>
  <c r="M6" i="2"/>
  <c r="H119" i="2"/>
  <c r="M99" i="2" s="1"/>
  <c r="O99" i="2" s="1"/>
  <c r="G119" i="2"/>
  <c r="H118" i="2"/>
  <c r="G118" i="2"/>
  <c r="H117" i="2"/>
  <c r="M96" i="2" s="1"/>
  <c r="G117" i="2"/>
  <c r="H116" i="2"/>
  <c r="M100" i="2" s="1"/>
  <c r="G116" i="2"/>
  <c r="H115" i="2"/>
  <c r="M93" i="2" s="1"/>
  <c r="G115" i="2"/>
  <c r="H114" i="2"/>
  <c r="M95" i="2" s="1"/>
  <c r="G114" i="2"/>
  <c r="H113" i="2"/>
  <c r="G113" i="2"/>
  <c r="H112" i="2"/>
  <c r="M101" i="2" s="1"/>
  <c r="G112" i="2"/>
  <c r="H111" i="2"/>
  <c r="M97" i="2" s="1"/>
  <c r="O97" i="2" s="1"/>
  <c r="G111" i="2"/>
  <c r="H106" i="2"/>
  <c r="G106" i="2"/>
  <c r="H105" i="2"/>
  <c r="G105" i="2"/>
  <c r="H104" i="2"/>
  <c r="G104" i="2"/>
  <c r="H103" i="2"/>
  <c r="L97" i="2" s="1"/>
  <c r="G103" i="2"/>
  <c r="H102" i="2"/>
  <c r="L96" i="2" s="1"/>
  <c r="G102" i="2"/>
  <c r="H101" i="2"/>
  <c r="L98" i="2" s="1"/>
  <c r="G101" i="2"/>
  <c r="H100" i="2"/>
  <c r="L93" i="2" s="1"/>
  <c r="G100" i="2"/>
  <c r="H99" i="2"/>
  <c r="G99" i="2"/>
  <c r="H98" i="2"/>
  <c r="G98" i="2"/>
  <c r="H93" i="2"/>
  <c r="G93" i="2"/>
  <c r="H92" i="2"/>
  <c r="K93" i="2" s="1"/>
  <c r="G92" i="2"/>
  <c r="H91" i="2"/>
  <c r="K97" i="2" s="1"/>
  <c r="G91" i="2"/>
  <c r="H90" i="2"/>
  <c r="G90" i="2"/>
  <c r="H89" i="2"/>
  <c r="G89" i="2"/>
  <c r="H88" i="2"/>
  <c r="K98" i="2" s="1"/>
  <c r="O98" i="2" s="1"/>
  <c r="G88" i="2"/>
  <c r="H87" i="2"/>
  <c r="K96" i="2" s="1"/>
  <c r="G87" i="2"/>
  <c r="H86" i="2"/>
  <c r="G86" i="2"/>
  <c r="H85" i="2"/>
  <c r="K99" i="2" s="1"/>
  <c r="G85" i="2"/>
  <c r="H79" i="2"/>
  <c r="M49" i="2" s="1"/>
  <c r="G79" i="2"/>
  <c r="H78" i="2"/>
  <c r="M48" i="2" s="1"/>
  <c r="G78" i="2"/>
  <c r="H77" i="2"/>
  <c r="M46" i="2" s="1"/>
  <c r="O46" i="2" s="1"/>
  <c r="G77" i="2"/>
  <c r="H76" i="2"/>
  <c r="G76" i="2"/>
  <c r="H75" i="2"/>
  <c r="G75" i="2"/>
  <c r="H74" i="2"/>
  <c r="M45" i="2" s="1"/>
  <c r="G74" i="2"/>
  <c r="H73" i="2"/>
  <c r="G73" i="2"/>
  <c r="H72" i="2"/>
  <c r="G72" i="2"/>
  <c r="H71" i="2"/>
  <c r="M47" i="2" s="1"/>
  <c r="G71" i="2"/>
  <c r="H66" i="2"/>
  <c r="L49" i="2" s="1"/>
  <c r="G66" i="2"/>
  <c r="H65" i="2"/>
  <c r="G65" i="2"/>
  <c r="H64" i="2"/>
  <c r="G64" i="2"/>
  <c r="H63" i="2"/>
  <c r="L47" i="2" s="1"/>
  <c r="G63" i="2"/>
  <c r="H62" i="2"/>
  <c r="L46" i="2" s="1"/>
  <c r="G62" i="2"/>
  <c r="H61" i="2"/>
  <c r="L48" i="2" s="1"/>
  <c r="G61" i="2"/>
  <c r="H60" i="2"/>
  <c r="G60" i="2"/>
  <c r="H59" i="2"/>
  <c r="L51" i="2" s="1"/>
  <c r="G59" i="2"/>
  <c r="H58" i="2"/>
  <c r="L44" i="2" s="1"/>
  <c r="G58" i="2"/>
  <c r="H53" i="2"/>
  <c r="G53" i="2"/>
  <c r="H52" i="2"/>
  <c r="G52" i="2"/>
  <c r="H51" i="2"/>
  <c r="K47" i="2" s="1"/>
  <c r="G51" i="2"/>
  <c r="H50" i="2"/>
  <c r="K44" i="2" s="1"/>
  <c r="K53" i="2" s="1"/>
  <c r="G50" i="2"/>
  <c r="H49" i="2"/>
  <c r="G49" i="2"/>
  <c r="H48" i="2"/>
  <c r="K48" i="2" s="1"/>
  <c r="G48" i="2"/>
  <c r="H47" i="2"/>
  <c r="G47" i="2"/>
  <c r="H46" i="2"/>
  <c r="K50" i="2" s="1"/>
  <c r="N50" i="2" s="1"/>
  <c r="T45" i="2" s="1"/>
  <c r="G46" i="2"/>
  <c r="H45" i="2"/>
  <c r="K49" i="2" s="1"/>
  <c r="N49" i="2" s="1"/>
  <c r="T44" i="2" s="1"/>
  <c r="G45" i="2"/>
  <c r="H39" i="2"/>
  <c r="M9" i="2" s="1"/>
  <c r="G39" i="2"/>
  <c r="H38" i="2"/>
  <c r="M8" i="2" s="1"/>
  <c r="G38" i="2"/>
  <c r="H37" i="2"/>
  <c r="G37" i="2"/>
  <c r="H36" i="2"/>
  <c r="G36" i="2"/>
  <c r="H35" i="2"/>
  <c r="G35" i="2"/>
  <c r="H34" i="2"/>
  <c r="M5" i="2" s="1"/>
  <c r="G34" i="2"/>
  <c r="H33" i="2"/>
  <c r="M4" i="2" s="1"/>
  <c r="G33" i="2"/>
  <c r="H32" i="2"/>
  <c r="G32" i="2"/>
  <c r="H31" i="2"/>
  <c r="M7" i="2" s="1"/>
  <c r="G31" i="2"/>
  <c r="H26" i="2"/>
  <c r="L9" i="2" s="1"/>
  <c r="G26" i="2"/>
  <c r="H25" i="2"/>
  <c r="L5" i="2" s="1"/>
  <c r="G25" i="2"/>
  <c r="H24" i="2"/>
  <c r="G24" i="2"/>
  <c r="H23" i="2"/>
  <c r="L7" i="2" s="1"/>
  <c r="G23" i="2"/>
  <c r="H22" i="2"/>
  <c r="L6" i="2" s="1"/>
  <c r="G22" i="2"/>
  <c r="H21" i="2"/>
  <c r="L8" i="2" s="1"/>
  <c r="O8" i="2" s="1"/>
  <c r="G21" i="2"/>
  <c r="H20" i="2"/>
  <c r="G20" i="2"/>
  <c r="H19" i="2"/>
  <c r="G19" i="2"/>
  <c r="H18" i="2"/>
  <c r="G18" i="2"/>
  <c r="G13" i="2"/>
  <c r="H12" i="2"/>
  <c r="K3" i="2" s="1"/>
  <c r="G12" i="2"/>
  <c r="H11" i="2"/>
  <c r="K7" i="2" s="1"/>
  <c r="G11" i="2"/>
  <c r="H10" i="2"/>
  <c r="G10" i="2"/>
  <c r="H9" i="2"/>
  <c r="K5" i="2" s="1"/>
  <c r="G9" i="2"/>
  <c r="H8" i="2"/>
  <c r="K8" i="2" s="1"/>
  <c r="G8" i="2"/>
  <c r="G7" i="2"/>
  <c r="H6" i="2"/>
  <c r="K10" i="2" s="1"/>
  <c r="G6" i="2"/>
  <c r="H5" i="2"/>
  <c r="K9" i="2" s="1"/>
  <c r="G5" i="2"/>
  <c r="L22" i="3" l="1"/>
  <c r="Z8" i="5"/>
  <c r="M13" i="4"/>
  <c r="M53" i="4"/>
  <c r="O88" i="4"/>
  <c r="N90" i="4"/>
  <c r="T85" i="4" s="1"/>
  <c r="K21" i="4"/>
  <c r="N3" i="4"/>
  <c r="R4" i="4" s="1"/>
  <c r="N85" i="4"/>
  <c r="R86" i="4" s="1"/>
  <c r="K101" i="4"/>
  <c r="O8" i="4"/>
  <c r="N50" i="4"/>
  <c r="T45" i="4" s="1"/>
  <c r="O45" i="4"/>
  <c r="O86" i="4"/>
  <c r="N91" i="4"/>
  <c r="T86" i="4" s="1"/>
  <c r="N87" i="4"/>
  <c r="S85" i="4" s="1"/>
  <c r="N9" i="4"/>
  <c r="T4" i="4" s="1"/>
  <c r="K53" i="4"/>
  <c r="N49" i="4"/>
  <c r="T44" i="4" s="1"/>
  <c r="N47" i="3"/>
  <c r="S45" i="3" s="1"/>
  <c r="O47" i="3"/>
  <c r="O6" i="3"/>
  <c r="N85" i="3"/>
  <c r="R86" i="3" s="1"/>
  <c r="O85" i="3"/>
  <c r="N9" i="3"/>
  <c r="T4" i="3" s="1"/>
  <c r="O9" i="3"/>
  <c r="L13" i="5"/>
  <c r="N5" i="4"/>
  <c r="R6" i="4" s="1"/>
  <c r="O5" i="4"/>
  <c r="K13" i="4"/>
  <c r="N51" i="2"/>
  <c r="T46" i="2" s="1"/>
  <c r="O51" i="2"/>
  <c r="L53" i="2"/>
  <c r="N5" i="3"/>
  <c r="R6" i="3" s="1"/>
  <c r="O21" i="4"/>
  <c r="K93" i="4"/>
  <c r="M52" i="5"/>
  <c r="N5" i="5"/>
  <c r="R6" i="5" s="1"/>
  <c r="O6" i="2"/>
  <c r="O100" i="2"/>
  <c r="O101" i="3"/>
  <c r="O90" i="4"/>
  <c r="N7" i="3"/>
  <c r="S5" i="3" s="1"/>
  <c r="O7" i="3"/>
  <c r="N10" i="4"/>
  <c r="T5" i="4" s="1"/>
  <c r="O10" i="4"/>
  <c r="O46" i="4"/>
  <c r="O51" i="4"/>
  <c r="N51" i="4"/>
  <c r="T46" i="4" s="1"/>
  <c r="N47" i="4"/>
  <c r="S45" i="4" s="1"/>
  <c r="O93" i="4"/>
  <c r="N83" i="4"/>
  <c r="M93" i="4"/>
  <c r="O4" i="5"/>
  <c r="K52" i="5"/>
  <c r="N42" i="5"/>
  <c r="R43" i="5" s="1"/>
  <c r="N46" i="5"/>
  <c r="S44" i="5" s="1"/>
  <c r="O61" i="3"/>
  <c r="N45" i="2"/>
  <c r="R46" i="2" s="1"/>
  <c r="K21" i="3"/>
  <c r="O21" i="3" s="1"/>
  <c r="K102" i="4"/>
  <c r="O100" i="4" s="1"/>
  <c r="O10" i="3"/>
  <c r="N10" i="3"/>
  <c r="T5" i="3" s="1"/>
  <c r="O9" i="2"/>
  <c r="O57" i="2"/>
  <c r="M12" i="3"/>
  <c r="O53" i="3"/>
  <c r="N91" i="3"/>
  <c r="T86" i="3" s="1"/>
  <c r="O91" i="3"/>
  <c r="O5" i="3"/>
  <c r="O89" i="3"/>
  <c r="N43" i="4"/>
  <c r="O89" i="4"/>
  <c r="O91" i="4"/>
  <c r="O9" i="4"/>
  <c r="O50" i="4"/>
  <c r="O101" i="4"/>
  <c r="O50" i="5"/>
  <c r="N89" i="4"/>
  <c r="T84" i="4" s="1"/>
  <c r="N44" i="5"/>
  <c r="R45" i="5" s="1"/>
  <c r="O49" i="2"/>
  <c r="N11" i="4"/>
  <c r="T6" i="4" s="1"/>
  <c r="O11" i="4"/>
  <c r="O50" i="2"/>
  <c r="N46" i="3"/>
  <c r="S44" i="3" s="1"/>
  <c r="N43" i="3"/>
  <c r="R44" i="3" s="1"/>
  <c r="N50" i="3"/>
  <c r="T45" i="3" s="1"/>
  <c r="T47" i="3" s="1"/>
  <c r="O86" i="3"/>
  <c r="O6" i="4"/>
  <c r="O48" i="4"/>
  <c r="O47" i="2"/>
  <c r="N47" i="2"/>
  <c r="S45" i="2" s="1"/>
  <c r="O48" i="2"/>
  <c r="O96" i="2"/>
  <c r="N90" i="3"/>
  <c r="T85" i="3" s="1"/>
  <c r="T87" i="3" s="1"/>
  <c r="K53" i="3"/>
  <c r="K62" i="3"/>
  <c r="N51" i="3"/>
  <c r="T46" i="3" s="1"/>
  <c r="O90" i="3"/>
  <c r="N87" i="3"/>
  <c r="S85" i="3" s="1"/>
  <c r="O87" i="3"/>
  <c r="N45" i="4"/>
  <c r="N7" i="4"/>
  <c r="S5" i="4" s="1"/>
  <c r="O7" i="4"/>
  <c r="O49" i="4"/>
  <c r="O43" i="5"/>
  <c r="N48" i="5"/>
  <c r="T43" i="5" s="1"/>
  <c r="O49" i="5"/>
  <c r="K112" i="2"/>
  <c r="O109" i="2" s="1"/>
  <c r="O51" i="3"/>
  <c r="O48" i="5"/>
  <c r="O85" i="4"/>
  <c r="O107" i="2"/>
  <c r="O45" i="5"/>
  <c r="O7" i="2"/>
  <c r="K21" i="2"/>
  <c r="O21" i="2" s="1"/>
  <c r="K111" i="2"/>
  <c r="K62" i="4"/>
  <c r="O60" i="4" s="1"/>
  <c r="O17" i="5"/>
  <c r="K62" i="2"/>
  <c r="O61" i="2" s="1"/>
  <c r="N94" i="2"/>
  <c r="R95" i="2" s="1"/>
  <c r="K22" i="5"/>
  <c r="O21" i="5" s="1"/>
  <c r="N50" i="5"/>
  <c r="T45" i="5" s="1"/>
  <c r="O17" i="3"/>
  <c r="O57" i="3"/>
  <c r="O97" i="3"/>
  <c r="O17" i="4"/>
  <c r="K61" i="4"/>
  <c r="K61" i="5"/>
  <c r="O60" i="5" s="1"/>
  <c r="U45" i="5"/>
  <c r="O42" i="5"/>
  <c r="N43" i="5"/>
  <c r="R44" i="5" s="1"/>
  <c r="U44" i="5" s="1"/>
  <c r="N45" i="5"/>
  <c r="S43" i="5" s="1"/>
  <c r="S46" i="5" s="1"/>
  <c r="N47" i="5"/>
  <c r="S45" i="5" s="1"/>
  <c r="L51" i="5"/>
  <c r="L52" i="5"/>
  <c r="O52" i="5"/>
  <c r="K51" i="5"/>
  <c r="M51" i="5"/>
  <c r="O58" i="5"/>
  <c r="O8" i="5"/>
  <c r="T7" i="5"/>
  <c r="O20" i="5"/>
  <c r="O3" i="5"/>
  <c r="N4" i="5"/>
  <c r="R5" i="5" s="1"/>
  <c r="U5" i="5" s="1"/>
  <c r="O5" i="5"/>
  <c r="N6" i="5"/>
  <c r="S4" i="5" s="1"/>
  <c r="O7" i="5"/>
  <c r="N8" i="5"/>
  <c r="S6" i="5" s="1"/>
  <c r="O9" i="5"/>
  <c r="O10" i="5"/>
  <c r="O11" i="5"/>
  <c r="L12" i="5"/>
  <c r="O13" i="5"/>
  <c r="N3" i="5"/>
  <c r="K12" i="5"/>
  <c r="M12" i="5"/>
  <c r="O18" i="5"/>
  <c r="O19" i="5"/>
  <c r="R84" i="4"/>
  <c r="T87" i="4"/>
  <c r="O83" i="4"/>
  <c r="N84" i="4"/>
  <c r="R85" i="4" s="1"/>
  <c r="U85" i="4" s="1"/>
  <c r="N86" i="4"/>
  <c r="S84" i="4" s="1"/>
  <c r="N88" i="4"/>
  <c r="S86" i="4" s="1"/>
  <c r="U86" i="4" s="1"/>
  <c r="L92" i="4"/>
  <c r="L93" i="4"/>
  <c r="O84" i="4"/>
  <c r="K92" i="4"/>
  <c r="M92" i="4"/>
  <c r="O98" i="4"/>
  <c r="U46" i="4"/>
  <c r="O43" i="4"/>
  <c r="N44" i="4"/>
  <c r="N46" i="4"/>
  <c r="N48" i="4"/>
  <c r="S46" i="4" s="1"/>
  <c r="L52" i="4"/>
  <c r="L53" i="4"/>
  <c r="O44" i="4"/>
  <c r="K52" i="4"/>
  <c r="M52" i="4"/>
  <c r="O13" i="4"/>
  <c r="O20" i="4"/>
  <c r="O3" i="4"/>
  <c r="N4" i="4"/>
  <c r="R5" i="4" s="1"/>
  <c r="N6" i="4"/>
  <c r="S4" i="4" s="1"/>
  <c r="N8" i="4"/>
  <c r="S6" i="4" s="1"/>
  <c r="L12" i="4"/>
  <c r="L13" i="4"/>
  <c r="O4" i="4"/>
  <c r="K12" i="4"/>
  <c r="M12" i="4"/>
  <c r="O18" i="4"/>
  <c r="O19" i="4"/>
  <c r="O100" i="3"/>
  <c r="N83" i="3"/>
  <c r="O83" i="3"/>
  <c r="N84" i="3"/>
  <c r="R85" i="3" s="1"/>
  <c r="U85" i="3" s="1"/>
  <c r="N86" i="3"/>
  <c r="S84" i="3" s="1"/>
  <c r="N88" i="3"/>
  <c r="S86" i="3" s="1"/>
  <c r="U86" i="3" s="1"/>
  <c r="L92" i="3"/>
  <c r="O84" i="3"/>
  <c r="M92" i="3"/>
  <c r="O98" i="3"/>
  <c r="O99" i="3"/>
  <c r="O60" i="3"/>
  <c r="O44" i="3"/>
  <c r="O46" i="3"/>
  <c r="O43" i="3"/>
  <c r="N44" i="3"/>
  <c r="R45" i="3" s="1"/>
  <c r="U45" i="3" s="1"/>
  <c r="N48" i="3"/>
  <c r="S46" i="3" s="1"/>
  <c r="S47" i="3" s="1"/>
  <c r="L52" i="3"/>
  <c r="L53" i="3"/>
  <c r="K52" i="3"/>
  <c r="M52" i="3"/>
  <c r="O58" i="3"/>
  <c r="O59" i="3"/>
  <c r="M13" i="3"/>
  <c r="O11" i="3"/>
  <c r="R4" i="3"/>
  <c r="O20" i="3"/>
  <c r="O3" i="3"/>
  <c r="N4" i="3"/>
  <c r="R5" i="3" s="1"/>
  <c r="N6" i="3"/>
  <c r="S4" i="3" s="1"/>
  <c r="N8" i="3"/>
  <c r="S6" i="3" s="1"/>
  <c r="U6" i="3" s="1"/>
  <c r="L12" i="3"/>
  <c r="L13" i="3"/>
  <c r="O13" i="3"/>
  <c r="K12" i="3"/>
  <c r="O18" i="3"/>
  <c r="O19" i="3"/>
  <c r="M103" i="2"/>
  <c r="N101" i="2"/>
  <c r="T96" i="2" s="1"/>
  <c r="N100" i="2"/>
  <c r="T95" i="2" s="1"/>
  <c r="N99" i="2"/>
  <c r="T94" i="2" s="1"/>
  <c r="N97" i="2"/>
  <c r="S95" i="2" s="1"/>
  <c r="N95" i="2"/>
  <c r="R96" i="2" s="1"/>
  <c r="K103" i="2"/>
  <c r="N93" i="2"/>
  <c r="R94" i="2" s="1"/>
  <c r="O94" i="2"/>
  <c r="O93" i="2"/>
  <c r="N96" i="2"/>
  <c r="S94" i="2" s="1"/>
  <c r="N98" i="2"/>
  <c r="S96" i="2" s="1"/>
  <c r="L102" i="2"/>
  <c r="L103" i="2"/>
  <c r="O103" i="2"/>
  <c r="K102" i="2"/>
  <c r="M102" i="2"/>
  <c r="O108" i="2"/>
  <c r="T47" i="2"/>
  <c r="O53" i="2"/>
  <c r="M53" i="2"/>
  <c r="M13" i="2"/>
  <c r="O60" i="2"/>
  <c r="N43" i="2"/>
  <c r="R44" i="2" s="1"/>
  <c r="O43" i="2"/>
  <c r="N44" i="2"/>
  <c r="N46" i="2"/>
  <c r="S44" i="2" s="1"/>
  <c r="N48" i="2"/>
  <c r="L52" i="2"/>
  <c r="O44" i="2"/>
  <c r="K52" i="2"/>
  <c r="M52" i="2"/>
  <c r="O58" i="2"/>
  <c r="O59" i="2"/>
  <c r="N5" i="2"/>
  <c r="O11" i="2"/>
  <c r="N10" i="2"/>
  <c r="T5" i="2" s="1"/>
  <c r="O5" i="2"/>
  <c r="O4" i="2"/>
  <c r="N9" i="2"/>
  <c r="T4" i="2" s="1"/>
  <c r="K13" i="2"/>
  <c r="N7" i="2"/>
  <c r="S5" i="2" s="1"/>
  <c r="N3" i="2"/>
  <c r="R4" i="2" s="1"/>
  <c r="O20" i="2"/>
  <c r="O3" i="2"/>
  <c r="N4" i="2"/>
  <c r="R5" i="2" s="1"/>
  <c r="N6" i="2"/>
  <c r="N8" i="2"/>
  <c r="S6" i="2" s="1"/>
  <c r="L12" i="2"/>
  <c r="L13" i="2"/>
  <c r="O13" i="2"/>
  <c r="K12" i="2"/>
  <c r="M12" i="2"/>
  <c r="O18" i="2"/>
  <c r="O19" i="2"/>
  <c r="O57" i="4" l="1"/>
  <c r="T47" i="4"/>
  <c r="O99" i="4"/>
  <c r="S47" i="4"/>
  <c r="O97" i="4"/>
  <c r="O59" i="4"/>
  <c r="U6" i="4"/>
  <c r="O58" i="4"/>
  <c r="U45" i="4"/>
  <c r="T7" i="4"/>
  <c r="O57" i="5"/>
  <c r="O56" i="5"/>
  <c r="T46" i="5"/>
  <c r="O110" i="2"/>
  <c r="U5" i="3"/>
  <c r="U5" i="4"/>
  <c r="O59" i="5"/>
  <c r="O111" i="2"/>
  <c r="U46" i="2"/>
  <c r="S46" i="2"/>
  <c r="R45" i="2"/>
  <c r="U45" i="2" s="1"/>
  <c r="U6" i="5"/>
  <c r="O61" i="4"/>
  <c r="T7" i="3"/>
  <c r="R46" i="5"/>
  <c r="U43" i="5"/>
  <c r="U46" i="5" s="1"/>
  <c r="R48" i="5" s="1"/>
  <c r="N51" i="5"/>
  <c r="N12" i="5"/>
  <c r="R4" i="5"/>
  <c r="S7" i="5"/>
  <c r="S87" i="4"/>
  <c r="R87" i="4"/>
  <c r="U84" i="4"/>
  <c r="N92" i="4"/>
  <c r="R47" i="4"/>
  <c r="U44" i="4"/>
  <c r="N52" i="4"/>
  <c r="S7" i="4"/>
  <c r="R7" i="4"/>
  <c r="U4" i="4"/>
  <c r="U7" i="4" s="1"/>
  <c r="R9" i="4" s="1"/>
  <c r="N12" i="4"/>
  <c r="R84" i="3"/>
  <c r="S87" i="3"/>
  <c r="R47" i="3"/>
  <c r="U44" i="3"/>
  <c r="U46" i="3"/>
  <c r="N52" i="3"/>
  <c r="S7" i="3"/>
  <c r="R7" i="3"/>
  <c r="U4" i="3"/>
  <c r="U7" i="3" s="1"/>
  <c r="N12" i="3"/>
  <c r="S4" i="2"/>
  <c r="S7" i="2" s="1"/>
  <c r="S97" i="2"/>
  <c r="U95" i="2"/>
  <c r="T97" i="2"/>
  <c r="U96" i="2"/>
  <c r="R97" i="2"/>
  <c r="U94" i="2"/>
  <c r="N102" i="2"/>
  <c r="U6" i="2"/>
  <c r="R6" i="2"/>
  <c r="N52" i="2"/>
  <c r="S47" i="2"/>
  <c r="T7" i="2"/>
  <c r="U5" i="2"/>
  <c r="R7" i="2"/>
  <c r="N12" i="2"/>
  <c r="U87" i="4" l="1"/>
  <c r="R89" i="4" s="1"/>
  <c r="L103" i="4" s="1"/>
  <c r="U47" i="4"/>
  <c r="L59" i="4" s="1"/>
  <c r="M59" i="4" s="1"/>
  <c r="U97" i="2"/>
  <c r="R99" i="2" s="1"/>
  <c r="L62" i="5"/>
  <c r="L59" i="5"/>
  <c r="M59" i="5" s="1"/>
  <c r="L58" i="5"/>
  <c r="M58" i="5" s="1"/>
  <c r="L57" i="5"/>
  <c r="L56" i="5"/>
  <c r="M56" i="5" s="1"/>
  <c r="R7" i="5"/>
  <c r="U4" i="5"/>
  <c r="U7" i="5" s="1"/>
  <c r="R9" i="5" s="1"/>
  <c r="L23" i="4"/>
  <c r="L20" i="4"/>
  <c r="M20" i="4" s="1"/>
  <c r="L19" i="4"/>
  <c r="M19" i="4" s="1"/>
  <c r="L18" i="4"/>
  <c r="L17" i="4"/>
  <c r="M17" i="4" s="1"/>
  <c r="R87" i="3"/>
  <c r="U84" i="3"/>
  <c r="U87" i="3" s="1"/>
  <c r="R89" i="3" s="1"/>
  <c r="U47" i="3"/>
  <c r="R49" i="3" s="1"/>
  <c r="L20" i="3"/>
  <c r="M20" i="3" s="1"/>
  <c r="L19" i="3"/>
  <c r="M19" i="3" s="1"/>
  <c r="M17" i="3"/>
  <c r="U4" i="2"/>
  <c r="U7" i="2" s="1"/>
  <c r="R9" i="2" s="1"/>
  <c r="L18" i="2" s="1"/>
  <c r="L113" i="2"/>
  <c r="L110" i="2"/>
  <c r="M110" i="2" s="1"/>
  <c r="L109" i="2"/>
  <c r="M109" i="2" s="1"/>
  <c r="L108" i="2"/>
  <c r="L107" i="2"/>
  <c r="M107" i="2" s="1"/>
  <c r="R47" i="2"/>
  <c r="U44" i="2"/>
  <c r="U47" i="2" s="1"/>
  <c r="R49" i="2" s="1"/>
  <c r="L23" i="2"/>
  <c r="L63" i="4" l="1"/>
  <c r="L97" i="4"/>
  <c r="M97" i="4" s="1"/>
  <c r="L98" i="4"/>
  <c r="L99" i="4"/>
  <c r="M99" i="4" s="1"/>
  <c r="L57" i="4"/>
  <c r="M57" i="4" s="1"/>
  <c r="L100" i="4"/>
  <c r="M100" i="4" s="1"/>
  <c r="L60" i="4"/>
  <c r="M60" i="4" s="1"/>
  <c r="L58" i="4"/>
  <c r="L62" i="4" s="1"/>
  <c r="M62" i="4" s="1"/>
  <c r="L61" i="5"/>
  <c r="M61" i="5" s="1"/>
  <c r="R49" i="5" s="1"/>
  <c r="M57" i="5"/>
  <c r="N57" i="5" s="1"/>
  <c r="P57" i="5" s="1"/>
  <c r="L60" i="5"/>
  <c r="M60" i="5" s="1"/>
  <c r="N60" i="5" s="1"/>
  <c r="P60" i="5" s="1"/>
  <c r="N59" i="5"/>
  <c r="P59" i="5" s="1"/>
  <c r="N56" i="5"/>
  <c r="P56" i="5" s="1"/>
  <c r="L23" i="5"/>
  <c r="L20" i="5"/>
  <c r="M20" i="5" s="1"/>
  <c r="L19" i="5"/>
  <c r="M19" i="5" s="1"/>
  <c r="L18" i="5"/>
  <c r="L17" i="5"/>
  <c r="M17" i="5" s="1"/>
  <c r="M98" i="4"/>
  <c r="L61" i="4"/>
  <c r="M61" i="4" s="1"/>
  <c r="L22" i="4"/>
  <c r="M22" i="4" s="1"/>
  <c r="R10" i="4" s="1"/>
  <c r="M18" i="4"/>
  <c r="L21" i="4"/>
  <c r="M21" i="4" s="1"/>
  <c r="N21" i="4" s="1"/>
  <c r="P21" i="4" s="1"/>
  <c r="L103" i="3"/>
  <c r="L100" i="3"/>
  <c r="M100" i="3" s="1"/>
  <c r="L99" i="3"/>
  <c r="M99" i="3" s="1"/>
  <c r="M97" i="3"/>
  <c r="L63" i="3"/>
  <c r="L60" i="3"/>
  <c r="M60" i="3" s="1"/>
  <c r="L59" i="3"/>
  <c r="M59" i="3" s="1"/>
  <c r="L58" i="3"/>
  <c r="L57" i="3"/>
  <c r="M57" i="3" s="1"/>
  <c r="M22" i="3"/>
  <c r="R10" i="3" s="1"/>
  <c r="M18" i="3"/>
  <c r="L21" i="3"/>
  <c r="M21" i="3" s="1"/>
  <c r="L17" i="2"/>
  <c r="M17" i="2" s="1"/>
  <c r="L19" i="2"/>
  <c r="M19" i="2" s="1"/>
  <c r="L20" i="2"/>
  <c r="M20" i="2" s="1"/>
  <c r="L112" i="2"/>
  <c r="M112" i="2" s="1"/>
  <c r="R100" i="2" s="1"/>
  <c r="M108" i="2"/>
  <c r="L111" i="2"/>
  <c r="M111" i="2" s="1"/>
  <c r="N111" i="2" s="1"/>
  <c r="P111" i="2" s="1"/>
  <c r="L63" i="2"/>
  <c r="L60" i="2"/>
  <c r="M60" i="2" s="1"/>
  <c r="L59" i="2"/>
  <c r="M59" i="2" s="1"/>
  <c r="L58" i="2"/>
  <c r="L57" i="2"/>
  <c r="M57" i="2" s="1"/>
  <c r="M18" i="2"/>
  <c r="M58" i="4" l="1"/>
  <c r="L101" i="4"/>
  <c r="M101" i="4" s="1"/>
  <c r="N101" i="4" s="1"/>
  <c r="P101" i="4" s="1"/>
  <c r="L102" i="4"/>
  <c r="M102" i="4" s="1"/>
  <c r="N21" i="3"/>
  <c r="P21" i="3" s="1"/>
  <c r="N61" i="4"/>
  <c r="P61" i="4" s="1"/>
  <c r="N58" i="5"/>
  <c r="P58" i="5" s="1"/>
  <c r="M18" i="5"/>
  <c r="L21" i="5"/>
  <c r="M21" i="5" s="1"/>
  <c r="L22" i="5"/>
  <c r="M22" i="5" s="1"/>
  <c r="R10" i="5" s="1"/>
  <c r="N97" i="4"/>
  <c r="P97" i="4" s="1"/>
  <c r="N100" i="4"/>
  <c r="P100" i="4" s="1"/>
  <c r="N98" i="4"/>
  <c r="P98" i="4" s="1"/>
  <c r="N99" i="4"/>
  <c r="P99" i="4" s="1"/>
  <c r="N57" i="4"/>
  <c r="P57" i="4" s="1"/>
  <c r="N60" i="4"/>
  <c r="P60" i="4" s="1"/>
  <c r="N58" i="4"/>
  <c r="P58" i="4" s="1"/>
  <c r="N59" i="4"/>
  <c r="P59" i="4" s="1"/>
  <c r="N17" i="4"/>
  <c r="P17" i="4" s="1"/>
  <c r="N20" i="4"/>
  <c r="P20" i="4" s="1"/>
  <c r="N18" i="4"/>
  <c r="P18" i="4" s="1"/>
  <c r="N19" i="4"/>
  <c r="P19" i="4" s="1"/>
  <c r="L102" i="3"/>
  <c r="M102" i="3" s="1"/>
  <c r="R90" i="3" s="1"/>
  <c r="M98" i="3"/>
  <c r="L101" i="3"/>
  <c r="M101" i="3" s="1"/>
  <c r="L62" i="3"/>
  <c r="M62" i="3" s="1"/>
  <c r="R50" i="3" s="1"/>
  <c r="M58" i="3"/>
  <c r="L61" i="3"/>
  <c r="M61" i="3" s="1"/>
  <c r="N17" i="3"/>
  <c r="P17" i="3" s="1"/>
  <c r="N20" i="3"/>
  <c r="P20" i="3" s="1"/>
  <c r="N18" i="3"/>
  <c r="P18" i="3" s="1"/>
  <c r="N19" i="3"/>
  <c r="P19" i="3" s="1"/>
  <c r="L22" i="2"/>
  <c r="M22" i="2" s="1"/>
  <c r="R10" i="2" s="1"/>
  <c r="L21" i="2"/>
  <c r="M21" i="2" s="1"/>
  <c r="N107" i="2"/>
  <c r="P107" i="2" s="1"/>
  <c r="N110" i="2"/>
  <c r="P110" i="2" s="1"/>
  <c r="N108" i="2"/>
  <c r="P108" i="2" s="1"/>
  <c r="N109" i="2"/>
  <c r="P109" i="2" s="1"/>
  <c r="N59" i="2"/>
  <c r="P59" i="2" s="1"/>
  <c r="L62" i="2"/>
  <c r="M62" i="2" s="1"/>
  <c r="R50" i="2" s="1"/>
  <c r="M58" i="2"/>
  <c r="N58" i="2" s="1"/>
  <c r="P58" i="2" s="1"/>
  <c r="L61" i="2"/>
  <c r="M61" i="2" s="1"/>
  <c r="N61" i="2" s="1"/>
  <c r="P61" i="2" s="1"/>
  <c r="N60" i="2"/>
  <c r="P60" i="2" s="1"/>
  <c r="N101" i="3" l="1"/>
  <c r="P101" i="3" s="1"/>
  <c r="R90" i="4"/>
  <c r="Z84" i="4"/>
  <c r="N61" i="3"/>
  <c r="P61" i="3" s="1"/>
  <c r="N17" i="5"/>
  <c r="P17" i="5" s="1"/>
  <c r="N21" i="5"/>
  <c r="P21" i="5" s="1"/>
  <c r="N19" i="5"/>
  <c r="P19" i="5" s="1"/>
  <c r="N20" i="5"/>
  <c r="P20" i="5" s="1"/>
  <c r="N18" i="5"/>
  <c r="P18" i="5" s="1"/>
  <c r="N97" i="3"/>
  <c r="P97" i="3" s="1"/>
  <c r="N100" i="3"/>
  <c r="P100" i="3" s="1"/>
  <c r="N98" i="3"/>
  <c r="P98" i="3" s="1"/>
  <c r="N99" i="3"/>
  <c r="P99" i="3" s="1"/>
  <c r="N57" i="3"/>
  <c r="P57" i="3" s="1"/>
  <c r="N60" i="3"/>
  <c r="P60" i="3" s="1"/>
  <c r="N58" i="3"/>
  <c r="P58" i="3" s="1"/>
  <c r="N59" i="3"/>
  <c r="P59" i="3" s="1"/>
  <c r="N17" i="2"/>
  <c r="P17" i="2" s="1"/>
  <c r="N20" i="2"/>
  <c r="P20" i="2" s="1"/>
  <c r="N18" i="2"/>
  <c r="P18" i="2" s="1"/>
  <c r="N19" i="2"/>
  <c r="P19" i="2" s="1"/>
  <c r="N21" i="2"/>
  <c r="P21" i="2" s="1"/>
  <c r="N57" i="2"/>
  <c r="P57" i="2" s="1"/>
  <c r="AD110" i="4" l="1"/>
  <c r="Y110" i="4"/>
  <c r="T110" i="4"/>
  <c r="AD100" i="4"/>
  <c r="AD99" i="4"/>
  <c r="Y99" i="4"/>
  <c r="T99" i="4"/>
  <c r="AO79" i="1"/>
  <c r="AN79" i="1"/>
  <c r="AO78" i="1"/>
  <c r="AN78" i="1"/>
  <c r="AO77" i="1"/>
  <c r="AN77" i="1"/>
  <c r="AO76" i="1"/>
  <c r="AN76" i="1"/>
  <c r="AO75" i="1"/>
  <c r="AN75" i="1"/>
  <c r="AO74" i="1"/>
  <c r="AN74" i="1"/>
  <c r="AO73" i="1"/>
  <c r="AN73" i="1"/>
  <c r="AO72" i="1"/>
  <c r="AN72" i="1"/>
  <c r="AO71" i="1"/>
  <c r="AN71" i="1"/>
  <c r="AO66" i="1"/>
  <c r="AN66" i="1"/>
  <c r="AO65" i="1"/>
  <c r="AN65" i="1"/>
  <c r="AO64" i="1"/>
  <c r="AN64" i="1"/>
  <c r="AO63" i="1"/>
  <c r="AN63" i="1"/>
  <c r="AO62" i="1"/>
  <c r="AN62" i="1"/>
  <c r="AO61" i="1"/>
  <c r="AN61" i="1"/>
  <c r="AO60" i="1"/>
  <c r="AN60" i="1"/>
  <c r="AO59" i="1"/>
  <c r="AN59" i="1"/>
  <c r="AO58" i="1"/>
  <c r="AN58" i="1"/>
  <c r="AO53" i="1"/>
  <c r="AN53" i="1"/>
  <c r="AO52" i="1"/>
  <c r="AN52" i="1"/>
  <c r="AO51" i="1"/>
  <c r="AN51" i="1"/>
  <c r="AO50" i="1"/>
  <c r="AN50" i="1"/>
  <c r="AO49" i="1"/>
  <c r="AN49" i="1"/>
  <c r="AO48" i="1"/>
  <c r="AN48" i="1"/>
  <c r="AO47" i="1"/>
  <c r="AN47" i="1"/>
  <c r="AO46" i="1"/>
  <c r="AN46" i="1"/>
  <c r="AO45" i="1"/>
  <c r="AN45" i="1"/>
  <c r="AO39" i="1"/>
  <c r="AN39" i="1"/>
  <c r="AO38" i="1"/>
  <c r="AN38" i="1"/>
  <c r="AO37" i="1"/>
  <c r="AN37" i="1"/>
  <c r="AO36" i="1"/>
  <c r="AN36" i="1"/>
  <c r="AO35" i="1"/>
  <c r="AN35" i="1"/>
  <c r="AO34" i="1"/>
  <c r="AN34" i="1"/>
  <c r="AO33" i="1"/>
  <c r="AN33" i="1"/>
  <c r="AO32" i="1"/>
  <c r="AN32" i="1"/>
  <c r="AO31" i="1"/>
  <c r="AN31" i="1"/>
  <c r="AO26" i="1"/>
  <c r="AN26" i="1"/>
  <c r="AO25" i="1"/>
  <c r="AN25" i="1"/>
  <c r="AO24" i="1"/>
  <c r="AN24" i="1"/>
  <c r="AO23" i="1"/>
  <c r="AN23" i="1"/>
  <c r="AO22" i="1"/>
  <c r="AN22" i="1"/>
  <c r="AO21" i="1"/>
  <c r="AN21" i="1"/>
  <c r="AO20" i="1"/>
  <c r="AN20" i="1"/>
  <c r="AO19" i="1"/>
  <c r="AN19" i="1"/>
  <c r="AO18" i="1"/>
  <c r="AN18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O6" i="1"/>
  <c r="AN6" i="1"/>
  <c r="AO5" i="1"/>
  <c r="AN5" i="1"/>
  <c r="AD119" i="1" l="1"/>
  <c r="AC119" i="1"/>
  <c r="AD118" i="1"/>
  <c r="AC118" i="1"/>
  <c r="AD117" i="1"/>
  <c r="AC117" i="1"/>
  <c r="AD116" i="1"/>
  <c r="AC116" i="1"/>
  <c r="AD115" i="1"/>
  <c r="AC115" i="1"/>
  <c r="AD114" i="1"/>
  <c r="AC114" i="1"/>
  <c r="AD113" i="1"/>
  <c r="AC113" i="1"/>
  <c r="AD112" i="1"/>
  <c r="AC112" i="1"/>
  <c r="AD111" i="1"/>
  <c r="AC111" i="1"/>
  <c r="AD106" i="1"/>
  <c r="AC106" i="1"/>
  <c r="AD105" i="1"/>
  <c r="AC105" i="1"/>
  <c r="AD104" i="1"/>
  <c r="AC104" i="1"/>
  <c r="AD103" i="1"/>
  <c r="AC103" i="1"/>
  <c r="AD102" i="1"/>
  <c r="AC102" i="1"/>
  <c r="AD101" i="1"/>
  <c r="AC101" i="1"/>
  <c r="AD100" i="1"/>
  <c r="AC100" i="1"/>
  <c r="AD99" i="1"/>
  <c r="AC99" i="1"/>
  <c r="AD98" i="1"/>
  <c r="AC98" i="1"/>
  <c r="AD93" i="1"/>
  <c r="AC93" i="1"/>
  <c r="AD92" i="1"/>
  <c r="AC92" i="1"/>
  <c r="AD91" i="1"/>
  <c r="AC91" i="1"/>
  <c r="AD90" i="1"/>
  <c r="AC90" i="1"/>
  <c r="AD89" i="1"/>
  <c r="AC89" i="1"/>
  <c r="AD88" i="1"/>
  <c r="AC88" i="1"/>
  <c r="AD87" i="1"/>
  <c r="AC87" i="1"/>
  <c r="AD86" i="1"/>
  <c r="AC86" i="1"/>
  <c r="AD85" i="1"/>
  <c r="AC85" i="1"/>
  <c r="AD79" i="1"/>
  <c r="AC79" i="1"/>
  <c r="AD78" i="1"/>
  <c r="AC78" i="1"/>
  <c r="AD77" i="1"/>
  <c r="AC77" i="1"/>
  <c r="AD76" i="1"/>
  <c r="AC76" i="1"/>
  <c r="AD75" i="1"/>
  <c r="AC75" i="1"/>
  <c r="AD74" i="1"/>
  <c r="AC74" i="1"/>
  <c r="AD73" i="1"/>
  <c r="AC73" i="1"/>
  <c r="AD72" i="1"/>
  <c r="AC72" i="1"/>
  <c r="AD71" i="1"/>
  <c r="AC71" i="1"/>
  <c r="AD66" i="1"/>
  <c r="AC66" i="1"/>
  <c r="AD65" i="1"/>
  <c r="AC65" i="1"/>
  <c r="AD64" i="1"/>
  <c r="AC64" i="1"/>
  <c r="AD63" i="1"/>
  <c r="AC63" i="1"/>
  <c r="AD62" i="1"/>
  <c r="AC62" i="1"/>
  <c r="AD61" i="1"/>
  <c r="AC61" i="1"/>
  <c r="AD60" i="1"/>
  <c r="AC60" i="1"/>
  <c r="AD59" i="1"/>
  <c r="AC59" i="1"/>
  <c r="AD58" i="1"/>
  <c r="AC58" i="1"/>
  <c r="AD53" i="1"/>
  <c r="AC53" i="1"/>
  <c r="AD52" i="1"/>
  <c r="AC52" i="1"/>
  <c r="AD51" i="1"/>
  <c r="AC51" i="1"/>
  <c r="AD50" i="1"/>
  <c r="AC50" i="1"/>
  <c r="AD49" i="1"/>
  <c r="AC49" i="1"/>
  <c r="AD48" i="1"/>
  <c r="AC48" i="1"/>
  <c r="AD47" i="1"/>
  <c r="AC47" i="1"/>
  <c r="AD46" i="1"/>
  <c r="AC46" i="1"/>
  <c r="AD45" i="1"/>
  <c r="AC45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D5" i="1"/>
  <c r="AC5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H119" i="1" l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I119" i="1" s="1"/>
  <c r="G111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I106" i="1" s="1"/>
  <c r="G98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I93" i="1" s="1"/>
  <c r="G85" i="1"/>
  <c r="H49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3" i="1"/>
  <c r="G53" i="1"/>
  <c r="H52" i="1"/>
  <c r="G52" i="1"/>
  <c r="H51" i="1"/>
  <c r="G51" i="1"/>
  <c r="H50" i="1"/>
  <c r="G50" i="1"/>
  <c r="G49" i="1"/>
  <c r="H48" i="1"/>
  <c r="G48" i="1"/>
  <c r="H47" i="1"/>
  <c r="G47" i="1"/>
  <c r="H46" i="1"/>
  <c r="G46" i="1"/>
  <c r="H45" i="1"/>
  <c r="G45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G19" i="1"/>
  <c r="G20" i="1"/>
  <c r="G21" i="1"/>
  <c r="G22" i="1"/>
  <c r="G23" i="1"/>
  <c r="G24" i="1"/>
  <c r="G25" i="1"/>
  <c r="G26" i="1"/>
  <c r="G18" i="1"/>
  <c r="H26" i="1"/>
  <c r="H25" i="1"/>
  <c r="H24" i="1"/>
  <c r="H23" i="1"/>
  <c r="H22" i="1"/>
  <c r="H21" i="1"/>
  <c r="H20" i="1"/>
  <c r="H19" i="1"/>
  <c r="H18" i="1"/>
  <c r="H6" i="1" l="1"/>
  <c r="H7" i="1"/>
  <c r="H8" i="1"/>
  <c r="H9" i="1"/>
  <c r="H10" i="1"/>
  <c r="H11" i="1"/>
  <c r="H12" i="1"/>
  <c r="H13" i="1"/>
  <c r="H5" i="1"/>
  <c r="G6" i="1"/>
  <c r="G7" i="1"/>
  <c r="G8" i="1"/>
  <c r="G9" i="1"/>
  <c r="G10" i="1"/>
  <c r="G11" i="1"/>
  <c r="G12" i="1"/>
  <c r="G13" i="1"/>
  <c r="G5" i="1"/>
</calcChain>
</file>

<file path=xl/sharedStrings.xml><?xml version="1.0" encoding="utf-8"?>
<sst xmlns="http://schemas.openxmlformats.org/spreadsheetml/2006/main" count="1607" uniqueCount="79">
  <si>
    <t>PLOT</t>
  </si>
  <si>
    <t>A3B1</t>
  </si>
  <si>
    <t>A3B2</t>
  </si>
  <si>
    <t>A2B1</t>
  </si>
  <si>
    <t>A2B3</t>
  </si>
  <si>
    <t>A1B3</t>
  </si>
  <si>
    <t>A1B2</t>
  </si>
  <si>
    <t>A2B2</t>
  </si>
  <si>
    <t>A1B1</t>
  </si>
  <si>
    <t>A3B3</t>
  </si>
  <si>
    <t>BLOK 1</t>
  </si>
  <si>
    <t>TANAMAN</t>
  </si>
  <si>
    <t>JUMLAH</t>
  </si>
  <si>
    <t>RERATA</t>
  </si>
  <si>
    <t>PENELITIAN DIAMETER BATANG 1</t>
  </si>
  <si>
    <t>PENELITIAN DIAMETER BATANG 2</t>
  </si>
  <si>
    <t>BLOK 2</t>
  </si>
  <si>
    <t>10,,16</t>
  </si>
  <si>
    <t>PENELITIAN DIAMETER BATANG 3</t>
  </si>
  <si>
    <t>PENELITIAN TINGGI TANAMAN 1</t>
  </si>
  <si>
    <t>BLOK 3</t>
  </si>
  <si>
    <t>PENELITIAN TINGGI TANAMAN 2</t>
  </si>
  <si>
    <t>PENELITIAN TINGGI TANAMAN 3</t>
  </si>
  <si>
    <t>PENELITIAN JUMLAH DAUN 1</t>
  </si>
  <si>
    <t>PENELITIAN JUMLAH DAUN 3</t>
  </si>
  <si>
    <t>PENELITIAN JUMLAH DAUN 2</t>
  </si>
  <si>
    <t>PENELITIAN JUMLAH ANAKAN 1</t>
  </si>
  <si>
    <t>PENELITIAN JUMLAH ANAKAN 2</t>
  </si>
  <si>
    <t>PERL</t>
  </si>
  <si>
    <t>JMLH</t>
  </si>
  <si>
    <t>rata</t>
  </si>
  <si>
    <t>TABEL 2 ARAH</t>
  </si>
  <si>
    <t>A1</t>
  </si>
  <si>
    <t>A2</t>
  </si>
  <si>
    <t>FK</t>
  </si>
  <si>
    <t>KK</t>
  </si>
  <si>
    <t>TABEL ANOVA</t>
  </si>
  <si>
    <t>SK</t>
  </si>
  <si>
    <t>db</t>
  </si>
  <si>
    <t>JK</t>
  </si>
  <si>
    <t>KT</t>
  </si>
  <si>
    <t xml:space="preserve"> F Hitung</t>
  </si>
  <si>
    <t>F Tabel 5%</t>
  </si>
  <si>
    <t>Notasi</t>
  </si>
  <si>
    <t>Blok</t>
  </si>
  <si>
    <t>perlk</t>
  </si>
  <si>
    <t>faktor A</t>
  </si>
  <si>
    <t>Galat</t>
  </si>
  <si>
    <t>Total</t>
  </si>
  <si>
    <t>A3</t>
  </si>
  <si>
    <t>B1</t>
  </si>
  <si>
    <t>B2</t>
  </si>
  <si>
    <t>B3</t>
  </si>
  <si>
    <t>faktor B</t>
  </si>
  <si>
    <t>A X B</t>
  </si>
  <si>
    <t>RATA2</t>
  </si>
  <si>
    <t>RATA2 A</t>
  </si>
  <si>
    <t>RATA2 B</t>
  </si>
  <si>
    <t>SD</t>
  </si>
  <si>
    <t>BNJ 5%</t>
  </si>
  <si>
    <t>BNJ Hitung</t>
  </si>
  <si>
    <t>Perlakuan</t>
  </si>
  <si>
    <t>BNJ+RATA2</t>
  </si>
  <si>
    <t>Simbol</t>
  </si>
  <si>
    <t>a</t>
  </si>
  <si>
    <t>b</t>
  </si>
  <si>
    <t>Karena hanya faktor B yang signifikan, maka Uji BNJ hanya dilakukan pada faktor B</t>
  </si>
  <si>
    <t>Faktor A</t>
  </si>
  <si>
    <t>Faktor B</t>
  </si>
  <si>
    <t>Perlakuan A1</t>
  </si>
  <si>
    <t>Perlakuan A2</t>
  </si>
  <si>
    <t>Perlakuan A3</t>
  </si>
  <si>
    <t>c</t>
  </si>
  <si>
    <t>Perlakuan B1</t>
  </si>
  <si>
    <t>Perlakuan B2</t>
  </si>
  <si>
    <t>Perlakuan B3</t>
  </si>
  <si>
    <t xml:space="preserve">Karena hanya interaksi AB yang signifikan, </t>
  </si>
  <si>
    <t>maka Uji BNJ hanya dilakukan pada interaksi A pada B dan sebaliknya</t>
  </si>
  <si>
    <t>Karena tidak ada faktor yang signifikan, maka tidak dilakukan Uji BNJ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</si>
</sst>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C9ED6"/>
        <bgColor indexed="64"/>
      </patternFill>
    </fill>
    <fill>
      <patternFill patternType="solid">
        <fgColor rgb="FFFF66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7" borderId="4" xfId="0" applyFill="1" applyBorder="1" applyAlignment="1">
      <alignment horizontal="left"/>
    </xf>
    <xf numFmtId="0" fontId="0" fillId="7" borderId="0" xfId="0" applyFill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0" fillId="0" borderId="1" xfId="0" applyBorder="1"/>
    <xf numFmtId="165" fontId="0" fillId="5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165" fontId="0" fillId="0" borderId="0" xfId="0" applyNumberFormat="1" applyAlignment="1">
      <alignment horizontal="center"/>
    </xf>
    <xf numFmtId="2" fontId="0" fillId="0" borderId="1" xfId="0" applyNumberFormat="1" applyBorder="1"/>
    <xf numFmtId="2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/>
    <xf numFmtId="2" fontId="0" fillId="0" borderId="0" xfId="0" applyNumberFormat="1" applyAlignment="1">
      <alignment horizontal="center"/>
    </xf>
    <xf numFmtId="0" fontId="0" fillId="0" borderId="5" xfId="0" applyBorder="1"/>
    <xf numFmtId="0" fontId="0" fillId="8" borderId="6" xfId="0" applyFill="1" applyBorder="1"/>
    <xf numFmtId="0" fontId="1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9"/>
  <sheetViews>
    <sheetView zoomScaleNormal="100" workbookViewId="0">
      <selection activeCell="I106" sqref="I106"/>
    </sheetView>
  </sheetViews>
  <sheetFormatPr defaultRowHeight="14.5" x14ac:dyDescent="0.35"/>
  <cols>
    <col min="8" max="8" width="10.81640625" customWidth="1"/>
  </cols>
  <sheetData>
    <row r="1" spans="1:41" x14ac:dyDescent="0.35">
      <c r="A1" s="28" t="s">
        <v>14</v>
      </c>
      <c r="B1" s="28"/>
      <c r="C1" s="28"/>
      <c r="D1" s="28"/>
      <c r="E1" s="28"/>
      <c r="F1" s="28"/>
      <c r="G1" s="28"/>
      <c r="H1" s="28"/>
      <c r="L1" s="30" t="s">
        <v>19</v>
      </c>
      <c r="M1" s="30"/>
      <c r="N1" s="30"/>
      <c r="O1" s="30"/>
      <c r="P1" s="30"/>
      <c r="Q1" s="30"/>
      <c r="R1" s="30"/>
      <c r="S1" s="30"/>
      <c r="W1" s="31" t="s">
        <v>23</v>
      </c>
      <c r="X1" s="31"/>
      <c r="Y1" s="31"/>
      <c r="Z1" s="31"/>
      <c r="AA1" s="31"/>
      <c r="AB1" s="31"/>
      <c r="AC1" s="31"/>
      <c r="AD1" s="31"/>
      <c r="AH1" s="32" t="s">
        <v>26</v>
      </c>
      <c r="AI1" s="32"/>
      <c r="AJ1" s="32"/>
      <c r="AK1" s="32"/>
      <c r="AL1" s="32"/>
      <c r="AM1" s="32"/>
      <c r="AN1" s="32"/>
      <c r="AO1" s="32"/>
    </row>
    <row r="2" spans="1:41" x14ac:dyDescent="0.35">
      <c r="A2" s="26" t="s">
        <v>0</v>
      </c>
      <c r="B2" s="27" t="s">
        <v>10</v>
      </c>
      <c r="C2" s="27"/>
      <c r="D2" s="27"/>
      <c r="E2" s="27"/>
      <c r="F2" s="27"/>
      <c r="G2" s="26" t="s">
        <v>12</v>
      </c>
      <c r="H2" s="26" t="s">
        <v>13</v>
      </c>
      <c r="L2" s="26" t="s">
        <v>0</v>
      </c>
      <c r="M2" s="27" t="s">
        <v>10</v>
      </c>
      <c r="N2" s="27"/>
      <c r="O2" s="27"/>
      <c r="P2" s="27"/>
      <c r="Q2" s="27"/>
      <c r="R2" s="26" t="s">
        <v>12</v>
      </c>
      <c r="S2" s="26" t="s">
        <v>13</v>
      </c>
      <c r="W2" s="26" t="s">
        <v>0</v>
      </c>
      <c r="X2" s="27" t="s">
        <v>10</v>
      </c>
      <c r="Y2" s="27"/>
      <c r="Z2" s="27"/>
      <c r="AA2" s="27"/>
      <c r="AB2" s="27"/>
      <c r="AC2" s="26" t="s">
        <v>12</v>
      </c>
      <c r="AD2" s="26" t="s">
        <v>13</v>
      </c>
      <c r="AH2" s="26" t="s">
        <v>0</v>
      </c>
      <c r="AI2" s="27" t="s">
        <v>10</v>
      </c>
      <c r="AJ2" s="27"/>
      <c r="AK2" s="27"/>
      <c r="AL2" s="27"/>
      <c r="AM2" s="27"/>
      <c r="AN2" s="26" t="s">
        <v>12</v>
      </c>
      <c r="AO2" s="26" t="s">
        <v>13</v>
      </c>
    </row>
    <row r="3" spans="1:41" x14ac:dyDescent="0.35">
      <c r="A3" s="26"/>
      <c r="B3" s="27" t="s">
        <v>11</v>
      </c>
      <c r="C3" s="27"/>
      <c r="D3" s="27"/>
      <c r="E3" s="27"/>
      <c r="F3" s="27"/>
      <c r="G3" s="26"/>
      <c r="H3" s="26"/>
      <c r="L3" s="26"/>
      <c r="M3" s="27" t="s">
        <v>11</v>
      </c>
      <c r="N3" s="27"/>
      <c r="O3" s="27"/>
      <c r="P3" s="27"/>
      <c r="Q3" s="27"/>
      <c r="R3" s="26"/>
      <c r="S3" s="26"/>
      <c r="W3" s="26"/>
      <c r="X3" s="27" t="s">
        <v>11</v>
      </c>
      <c r="Y3" s="27"/>
      <c r="Z3" s="27"/>
      <c r="AA3" s="27"/>
      <c r="AB3" s="27"/>
      <c r="AC3" s="26"/>
      <c r="AD3" s="26"/>
      <c r="AH3" s="26"/>
      <c r="AI3" s="27" t="s">
        <v>11</v>
      </c>
      <c r="AJ3" s="27"/>
      <c r="AK3" s="27"/>
      <c r="AL3" s="27"/>
      <c r="AM3" s="27"/>
      <c r="AN3" s="26"/>
      <c r="AO3" s="26"/>
    </row>
    <row r="4" spans="1:41" x14ac:dyDescent="0.35">
      <c r="A4" s="26"/>
      <c r="B4" s="3">
        <v>1</v>
      </c>
      <c r="C4" s="3">
        <v>2</v>
      </c>
      <c r="D4" s="3">
        <v>3</v>
      </c>
      <c r="E4" s="3">
        <v>4</v>
      </c>
      <c r="F4" s="3">
        <v>5</v>
      </c>
      <c r="G4" s="26"/>
      <c r="H4" s="26"/>
      <c r="L4" s="26"/>
      <c r="M4" s="3">
        <v>1</v>
      </c>
      <c r="N4" s="3">
        <v>2</v>
      </c>
      <c r="O4" s="3">
        <v>3</v>
      </c>
      <c r="P4" s="3">
        <v>4</v>
      </c>
      <c r="Q4" s="3">
        <v>5</v>
      </c>
      <c r="R4" s="26"/>
      <c r="S4" s="26"/>
      <c r="W4" s="26"/>
      <c r="X4" s="3">
        <v>1</v>
      </c>
      <c r="Y4" s="3">
        <v>2</v>
      </c>
      <c r="Z4" s="3">
        <v>3</v>
      </c>
      <c r="AA4" s="3">
        <v>4</v>
      </c>
      <c r="AB4" s="3">
        <v>5</v>
      </c>
      <c r="AC4" s="26"/>
      <c r="AD4" s="26"/>
      <c r="AH4" s="26"/>
      <c r="AI4" s="3">
        <v>1</v>
      </c>
      <c r="AJ4" s="3">
        <v>2</v>
      </c>
      <c r="AK4" s="3">
        <v>3</v>
      </c>
      <c r="AL4" s="3">
        <v>4</v>
      </c>
      <c r="AM4" s="3">
        <v>5</v>
      </c>
      <c r="AN4" s="26"/>
      <c r="AO4" s="26"/>
    </row>
    <row r="5" spans="1:41" x14ac:dyDescent="0.35">
      <c r="A5" s="1" t="s">
        <v>1</v>
      </c>
      <c r="B5" s="2">
        <v>5.4</v>
      </c>
      <c r="C5" s="2">
        <v>5.2</v>
      </c>
      <c r="D5" s="2">
        <v>4.4000000000000004</v>
      </c>
      <c r="E5" s="4">
        <v>4</v>
      </c>
      <c r="F5" s="2">
        <v>4.4000000000000004</v>
      </c>
      <c r="G5" s="2">
        <f>SUM(B5:F5)</f>
        <v>23.4</v>
      </c>
      <c r="H5" s="2">
        <f>AVERAGE(B5:F5)</f>
        <v>4.68</v>
      </c>
      <c r="L5" s="1" t="s">
        <v>1</v>
      </c>
      <c r="M5" s="4">
        <v>15.5</v>
      </c>
      <c r="N5" s="4">
        <v>12</v>
      </c>
      <c r="O5" s="4">
        <v>13</v>
      </c>
      <c r="P5" s="4">
        <v>10</v>
      </c>
      <c r="Q5" s="4">
        <v>11.5</v>
      </c>
      <c r="R5" s="2">
        <f>SUM(M5:Q5)</f>
        <v>62</v>
      </c>
      <c r="S5" s="2">
        <f>AVERAGE(M5:Q5)</f>
        <v>12.4</v>
      </c>
      <c r="W5" s="1" t="s">
        <v>1</v>
      </c>
      <c r="X5" s="4">
        <v>14</v>
      </c>
      <c r="Y5" s="4">
        <v>9</v>
      </c>
      <c r="Z5" s="4">
        <v>15</v>
      </c>
      <c r="AA5" s="4">
        <v>10</v>
      </c>
      <c r="AB5" s="4">
        <v>15</v>
      </c>
      <c r="AC5" s="2">
        <f>SUM(X5:AB5)</f>
        <v>63</v>
      </c>
      <c r="AD5" s="2">
        <f>AVERAGE(X5:AB5)</f>
        <v>12.6</v>
      </c>
      <c r="AH5" s="1" t="s">
        <v>1</v>
      </c>
      <c r="AI5" s="4">
        <v>5</v>
      </c>
      <c r="AJ5" s="4">
        <v>5</v>
      </c>
      <c r="AK5" s="4">
        <v>4</v>
      </c>
      <c r="AL5" s="4">
        <v>4</v>
      </c>
      <c r="AM5" s="4">
        <v>3</v>
      </c>
      <c r="AN5" s="4">
        <f>SUM(AI5:AM5)</f>
        <v>21</v>
      </c>
      <c r="AO5" s="4">
        <f>AVERAGE(AI5:AM5)</f>
        <v>4.2</v>
      </c>
    </row>
    <row r="6" spans="1:41" x14ac:dyDescent="0.35">
      <c r="A6" s="1" t="s">
        <v>2</v>
      </c>
      <c r="B6" s="2">
        <v>4.7</v>
      </c>
      <c r="C6" s="2">
        <v>3.3</v>
      </c>
      <c r="D6" s="2">
        <v>5.9</v>
      </c>
      <c r="E6" s="2">
        <v>3.8</v>
      </c>
      <c r="F6" s="2">
        <v>4.0999999999999996</v>
      </c>
      <c r="G6" s="2">
        <f t="shared" ref="G6:G13" si="0">SUM(B6:F6)</f>
        <v>21.799999999999997</v>
      </c>
      <c r="H6" s="2">
        <f t="shared" ref="H6:H13" si="1">AVERAGE(B6:F6)</f>
        <v>4.3599999999999994</v>
      </c>
      <c r="L6" s="1" t="s">
        <v>2</v>
      </c>
      <c r="M6" s="4">
        <v>14</v>
      </c>
      <c r="N6" s="4">
        <v>10.7</v>
      </c>
      <c r="O6" s="4">
        <v>15.6</v>
      </c>
      <c r="P6" s="4">
        <v>12</v>
      </c>
      <c r="Q6" s="4">
        <v>10.3</v>
      </c>
      <c r="R6" s="2">
        <f t="shared" ref="R6:R13" si="2">SUM(M6:Q6)</f>
        <v>62.599999999999994</v>
      </c>
      <c r="S6" s="2">
        <f t="shared" ref="S6:S13" si="3">AVERAGE(M6:Q6)</f>
        <v>12.52</v>
      </c>
      <c r="W6" s="1" t="s">
        <v>2</v>
      </c>
      <c r="X6" s="4">
        <v>14</v>
      </c>
      <c r="Y6" s="4">
        <v>12</v>
      </c>
      <c r="Z6" s="4">
        <v>14</v>
      </c>
      <c r="AA6" s="4">
        <v>12</v>
      </c>
      <c r="AB6" s="4">
        <v>13</v>
      </c>
      <c r="AC6" s="2">
        <f t="shared" ref="AC6:AC13" si="4">SUM(X6:AB6)</f>
        <v>65</v>
      </c>
      <c r="AD6" s="2">
        <f t="shared" ref="AD6:AD13" si="5">AVERAGE(X6:AB6)</f>
        <v>13</v>
      </c>
      <c r="AH6" s="1" t="s">
        <v>2</v>
      </c>
      <c r="AI6" s="4">
        <v>5</v>
      </c>
      <c r="AJ6" s="4">
        <v>4</v>
      </c>
      <c r="AK6" s="4">
        <v>5</v>
      </c>
      <c r="AL6" s="4">
        <v>5</v>
      </c>
      <c r="AM6" s="4">
        <v>4</v>
      </c>
      <c r="AN6" s="4">
        <f t="shared" ref="AN6:AN13" si="6">SUM(AI6:AM6)</f>
        <v>23</v>
      </c>
      <c r="AO6" s="4">
        <f t="shared" ref="AO6:AO13" si="7">AVERAGE(AI6:AM6)</f>
        <v>4.5999999999999996</v>
      </c>
    </row>
    <row r="7" spans="1:41" x14ac:dyDescent="0.35">
      <c r="A7" s="1" t="s">
        <v>3</v>
      </c>
      <c r="B7" s="2">
        <v>2.6</v>
      </c>
      <c r="C7" s="2">
        <v>5.0999999999999996</v>
      </c>
      <c r="D7" s="2">
        <v>3.3</v>
      </c>
      <c r="E7" s="2">
        <v>5.7</v>
      </c>
      <c r="F7" s="2">
        <v>3.1</v>
      </c>
      <c r="G7" s="2">
        <f t="shared" si="0"/>
        <v>19.8</v>
      </c>
      <c r="H7" s="2">
        <f t="shared" si="1"/>
        <v>3.96</v>
      </c>
      <c r="L7" s="1" t="s">
        <v>3</v>
      </c>
      <c r="M7" s="4">
        <v>8</v>
      </c>
      <c r="N7" s="4">
        <v>11.8</v>
      </c>
      <c r="O7" s="4">
        <v>11.2</v>
      </c>
      <c r="P7" s="4">
        <v>13.5</v>
      </c>
      <c r="Q7" s="4">
        <v>8.5</v>
      </c>
      <c r="R7" s="2">
        <f t="shared" si="2"/>
        <v>53</v>
      </c>
      <c r="S7" s="2">
        <f t="shared" si="3"/>
        <v>10.6</v>
      </c>
      <c r="W7" s="1" t="s">
        <v>3</v>
      </c>
      <c r="X7" s="4">
        <v>10</v>
      </c>
      <c r="Y7" s="4">
        <v>13</v>
      </c>
      <c r="Z7" s="4">
        <v>8</v>
      </c>
      <c r="AA7" s="4">
        <v>11</v>
      </c>
      <c r="AB7" s="4">
        <v>6</v>
      </c>
      <c r="AC7" s="2">
        <f t="shared" si="4"/>
        <v>48</v>
      </c>
      <c r="AD7" s="2">
        <f t="shared" si="5"/>
        <v>9.6</v>
      </c>
      <c r="AH7" s="1" t="s">
        <v>3</v>
      </c>
      <c r="AI7" s="4">
        <v>2</v>
      </c>
      <c r="AJ7" s="4">
        <v>2</v>
      </c>
      <c r="AK7" s="4">
        <v>5</v>
      </c>
      <c r="AL7" s="4">
        <v>4</v>
      </c>
      <c r="AM7" s="4">
        <v>4</v>
      </c>
      <c r="AN7" s="4">
        <f t="shared" si="6"/>
        <v>17</v>
      </c>
      <c r="AO7" s="4">
        <f t="shared" si="7"/>
        <v>3.4</v>
      </c>
    </row>
    <row r="8" spans="1:41" x14ac:dyDescent="0.35">
      <c r="A8" s="1" t="s">
        <v>4</v>
      </c>
      <c r="B8" s="2">
        <v>3.5</v>
      </c>
      <c r="C8" s="2">
        <v>3.6</v>
      </c>
      <c r="D8" s="2">
        <v>3.3</v>
      </c>
      <c r="E8" s="2">
        <v>3.3</v>
      </c>
      <c r="F8" s="2">
        <v>2.2999999999999998</v>
      </c>
      <c r="G8" s="4">
        <f t="shared" si="0"/>
        <v>16</v>
      </c>
      <c r="H8" s="5">
        <f t="shared" si="1"/>
        <v>3.2</v>
      </c>
      <c r="L8" s="1" t="s">
        <v>4</v>
      </c>
      <c r="M8" s="4">
        <v>10.199999999999999</v>
      </c>
      <c r="N8" s="4">
        <v>12.4</v>
      </c>
      <c r="O8" s="4">
        <v>11.6</v>
      </c>
      <c r="P8" s="4">
        <v>9.8000000000000007</v>
      </c>
      <c r="Q8" s="4">
        <v>8</v>
      </c>
      <c r="R8" s="4">
        <f t="shared" si="2"/>
        <v>52</v>
      </c>
      <c r="S8" s="5">
        <f t="shared" si="3"/>
        <v>10.4</v>
      </c>
      <c r="W8" s="1" t="s">
        <v>4</v>
      </c>
      <c r="X8" s="4">
        <v>10</v>
      </c>
      <c r="Y8" s="4">
        <v>10</v>
      </c>
      <c r="Z8" s="4">
        <v>11</v>
      </c>
      <c r="AA8" s="4">
        <v>13</v>
      </c>
      <c r="AB8" s="4">
        <v>5</v>
      </c>
      <c r="AC8" s="4">
        <f t="shared" si="4"/>
        <v>49</v>
      </c>
      <c r="AD8" s="5">
        <f t="shared" si="5"/>
        <v>9.8000000000000007</v>
      </c>
      <c r="AH8" s="1" t="s">
        <v>4</v>
      </c>
      <c r="AI8" s="4">
        <v>7</v>
      </c>
      <c r="AJ8" s="4">
        <v>6</v>
      </c>
      <c r="AK8" s="4">
        <v>4</v>
      </c>
      <c r="AL8" s="4">
        <v>4</v>
      </c>
      <c r="AM8" s="4">
        <v>4</v>
      </c>
      <c r="AN8" s="4">
        <f t="shared" si="6"/>
        <v>25</v>
      </c>
      <c r="AO8" s="4">
        <f t="shared" si="7"/>
        <v>5</v>
      </c>
    </row>
    <row r="9" spans="1:41" x14ac:dyDescent="0.35">
      <c r="A9" s="1" t="s">
        <v>5</v>
      </c>
      <c r="B9" s="2">
        <v>2.8</v>
      </c>
      <c r="C9" s="2">
        <v>3.8</v>
      </c>
      <c r="D9" s="2">
        <v>7.1</v>
      </c>
      <c r="E9" s="4">
        <v>4</v>
      </c>
      <c r="F9" s="2">
        <v>4.5999999999999996</v>
      </c>
      <c r="G9" s="2">
        <f t="shared" si="0"/>
        <v>22.299999999999997</v>
      </c>
      <c r="H9" s="2">
        <f t="shared" si="1"/>
        <v>4.4599999999999991</v>
      </c>
      <c r="L9" s="1" t="s">
        <v>5</v>
      </c>
      <c r="M9" s="4">
        <v>8.1999999999999993</v>
      </c>
      <c r="N9" s="4">
        <v>10.5</v>
      </c>
      <c r="O9" s="4">
        <v>13</v>
      </c>
      <c r="P9" s="4">
        <v>11</v>
      </c>
      <c r="Q9" s="4">
        <v>11.2</v>
      </c>
      <c r="R9" s="2">
        <f t="shared" si="2"/>
        <v>53.900000000000006</v>
      </c>
      <c r="S9" s="2">
        <f t="shared" si="3"/>
        <v>10.780000000000001</v>
      </c>
      <c r="W9" s="1" t="s">
        <v>5</v>
      </c>
      <c r="X9" s="4">
        <v>7</v>
      </c>
      <c r="Y9" s="4">
        <v>7</v>
      </c>
      <c r="Z9" s="4">
        <v>6</v>
      </c>
      <c r="AA9" s="4">
        <v>10</v>
      </c>
      <c r="AB9" s="4">
        <v>14</v>
      </c>
      <c r="AC9" s="2">
        <f t="shared" si="4"/>
        <v>44</v>
      </c>
      <c r="AD9" s="2">
        <f t="shared" si="5"/>
        <v>8.8000000000000007</v>
      </c>
      <c r="AH9" s="1" t="s">
        <v>5</v>
      </c>
      <c r="AI9" s="4">
        <v>4</v>
      </c>
      <c r="AJ9" s="4">
        <v>3</v>
      </c>
      <c r="AK9" s="4">
        <v>4</v>
      </c>
      <c r="AL9" s="4">
        <v>4</v>
      </c>
      <c r="AM9" s="4">
        <v>5</v>
      </c>
      <c r="AN9" s="4">
        <f t="shared" si="6"/>
        <v>20</v>
      </c>
      <c r="AO9" s="4">
        <f t="shared" si="7"/>
        <v>4</v>
      </c>
    </row>
    <row r="10" spans="1:41" x14ac:dyDescent="0.35">
      <c r="A10" s="1" t="s">
        <v>6</v>
      </c>
      <c r="B10" s="2">
        <v>3.1</v>
      </c>
      <c r="C10" s="2">
        <v>3.2</v>
      </c>
      <c r="D10" s="2">
        <v>3.1</v>
      </c>
      <c r="E10" s="2">
        <v>4.0999999999999996</v>
      </c>
      <c r="F10" s="2">
        <v>3.4</v>
      </c>
      <c r="G10" s="2">
        <f t="shared" si="0"/>
        <v>16.899999999999999</v>
      </c>
      <c r="H10" s="2">
        <f t="shared" si="1"/>
        <v>3.38</v>
      </c>
      <c r="L10" s="1" t="s">
        <v>6</v>
      </c>
      <c r="M10" s="4">
        <v>8.5</v>
      </c>
      <c r="N10" s="4">
        <v>6.8</v>
      </c>
      <c r="O10" s="4">
        <v>8.5</v>
      </c>
      <c r="P10" s="4">
        <v>9</v>
      </c>
      <c r="Q10" s="4">
        <v>9.5</v>
      </c>
      <c r="R10" s="2">
        <f t="shared" si="2"/>
        <v>42.3</v>
      </c>
      <c r="S10" s="2">
        <f t="shared" si="3"/>
        <v>8.4599999999999991</v>
      </c>
      <c r="W10" s="1" t="s">
        <v>6</v>
      </c>
      <c r="X10" s="4">
        <v>6</v>
      </c>
      <c r="Y10" s="4">
        <v>6</v>
      </c>
      <c r="Z10" s="4">
        <v>8</v>
      </c>
      <c r="AA10" s="4">
        <v>10</v>
      </c>
      <c r="AB10" s="4">
        <v>6</v>
      </c>
      <c r="AC10" s="2">
        <f t="shared" si="4"/>
        <v>36</v>
      </c>
      <c r="AD10" s="2">
        <f t="shared" si="5"/>
        <v>7.2</v>
      </c>
      <c r="AH10" s="1" t="s">
        <v>6</v>
      </c>
      <c r="AI10" s="4">
        <v>3</v>
      </c>
      <c r="AJ10" s="4">
        <v>6</v>
      </c>
      <c r="AK10" s="4">
        <v>4</v>
      </c>
      <c r="AL10" s="4">
        <v>4</v>
      </c>
      <c r="AM10" s="4">
        <v>6</v>
      </c>
      <c r="AN10" s="4">
        <f t="shared" si="6"/>
        <v>23</v>
      </c>
      <c r="AO10" s="4">
        <f t="shared" si="7"/>
        <v>4.5999999999999996</v>
      </c>
    </row>
    <row r="11" spans="1:41" x14ac:dyDescent="0.35">
      <c r="A11" s="1" t="s">
        <v>7</v>
      </c>
      <c r="B11" s="2">
        <v>6.6</v>
      </c>
      <c r="C11" s="2">
        <v>5.6</v>
      </c>
      <c r="D11" s="2">
        <v>5.2</v>
      </c>
      <c r="E11" s="2">
        <v>4.5999999999999996</v>
      </c>
      <c r="F11" s="4">
        <v>5</v>
      </c>
      <c r="G11" s="4">
        <f t="shared" si="0"/>
        <v>27</v>
      </c>
      <c r="H11" s="5">
        <f t="shared" si="1"/>
        <v>5.4</v>
      </c>
      <c r="L11" s="1" t="s">
        <v>7</v>
      </c>
      <c r="M11" s="4">
        <v>10.8</v>
      </c>
      <c r="N11" s="4">
        <v>12</v>
      </c>
      <c r="O11" s="4">
        <v>13.5</v>
      </c>
      <c r="P11" s="4">
        <v>10.4</v>
      </c>
      <c r="Q11" s="4">
        <v>11.7</v>
      </c>
      <c r="R11" s="4">
        <f t="shared" si="2"/>
        <v>58.399999999999991</v>
      </c>
      <c r="S11" s="5">
        <f t="shared" si="3"/>
        <v>11.679999999999998</v>
      </c>
      <c r="W11" s="1" t="s">
        <v>7</v>
      </c>
      <c r="X11" s="4">
        <v>10</v>
      </c>
      <c r="Y11" s="4">
        <v>10</v>
      </c>
      <c r="Z11" s="4">
        <v>7</v>
      </c>
      <c r="AA11" s="4">
        <v>6</v>
      </c>
      <c r="AB11" s="4">
        <v>10</v>
      </c>
      <c r="AC11" s="4">
        <f t="shared" si="4"/>
        <v>43</v>
      </c>
      <c r="AD11" s="5">
        <f t="shared" si="5"/>
        <v>8.6</v>
      </c>
      <c r="AH11" s="1" t="s">
        <v>7</v>
      </c>
      <c r="AI11" s="4">
        <v>4</v>
      </c>
      <c r="AJ11" s="4">
        <v>2</v>
      </c>
      <c r="AK11" s="4">
        <v>5</v>
      </c>
      <c r="AL11" s="4">
        <v>5</v>
      </c>
      <c r="AM11" s="4">
        <v>2</v>
      </c>
      <c r="AN11" s="4">
        <f t="shared" si="6"/>
        <v>18</v>
      </c>
      <c r="AO11" s="4">
        <f t="shared" si="7"/>
        <v>3.6</v>
      </c>
    </row>
    <row r="12" spans="1:41" x14ac:dyDescent="0.35">
      <c r="A12" s="1" t="s">
        <v>8</v>
      </c>
      <c r="B12" s="2">
        <v>3.3</v>
      </c>
      <c r="C12" s="2">
        <v>4.3</v>
      </c>
      <c r="D12" s="2">
        <v>3.1</v>
      </c>
      <c r="E12" s="2">
        <v>3.1</v>
      </c>
      <c r="F12" s="2">
        <v>4.7</v>
      </c>
      <c r="G12" s="2">
        <f t="shared" si="0"/>
        <v>18.5</v>
      </c>
      <c r="H12" s="5">
        <f t="shared" si="1"/>
        <v>3.7</v>
      </c>
      <c r="L12" s="1" t="s">
        <v>8</v>
      </c>
      <c r="M12" s="4">
        <v>11.8</v>
      </c>
      <c r="N12" s="4">
        <v>10</v>
      </c>
      <c r="O12" s="4">
        <v>7.5</v>
      </c>
      <c r="P12" s="4">
        <v>8.4</v>
      </c>
      <c r="Q12" s="4">
        <v>8.5</v>
      </c>
      <c r="R12" s="2">
        <f t="shared" si="2"/>
        <v>46.2</v>
      </c>
      <c r="S12" s="5">
        <f t="shared" si="3"/>
        <v>9.24</v>
      </c>
      <c r="W12" s="1" t="s">
        <v>8</v>
      </c>
      <c r="X12" s="4">
        <v>7</v>
      </c>
      <c r="Y12" s="4">
        <v>7</v>
      </c>
      <c r="Z12" s="4">
        <v>6</v>
      </c>
      <c r="AA12" s="4">
        <v>8</v>
      </c>
      <c r="AB12" s="4">
        <v>13</v>
      </c>
      <c r="AC12" s="2">
        <f t="shared" si="4"/>
        <v>41</v>
      </c>
      <c r="AD12" s="5">
        <f t="shared" si="5"/>
        <v>8.1999999999999993</v>
      </c>
      <c r="AH12" s="1" t="s">
        <v>8</v>
      </c>
      <c r="AI12" s="4">
        <v>3</v>
      </c>
      <c r="AJ12" s="4">
        <v>4</v>
      </c>
      <c r="AK12" s="4">
        <v>6</v>
      </c>
      <c r="AL12" s="4">
        <v>3</v>
      </c>
      <c r="AM12" s="4">
        <v>5</v>
      </c>
      <c r="AN12" s="4">
        <f t="shared" si="6"/>
        <v>21</v>
      </c>
      <c r="AO12" s="4">
        <f t="shared" si="7"/>
        <v>4.2</v>
      </c>
    </row>
    <row r="13" spans="1:41" x14ac:dyDescent="0.35">
      <c r="A13" s="1" t="s">
        <v>9</v>
      </c>
      <c r="B13" s="2">
        <v>3.8</v>
      </c>
      <c r="C13" s="2">
        <v>4.7</v>
      </c>
      <c r="D13" s="2">
        <v>4.5</v>
      </c>
      <c r="E13" s="2">
        <v>3.9</v>
      </c>
      <c r="F13" s="2">
        <v>4.7</v>
      </c>
      <c r="G13" s="2">
        <f t="shared" si="0"/>
        <v>21.599999999999998</v>
      </c>
      <c r="H13" s="2">
        <f t="shared" si="1"/>
        <v>4.3199999999999994</v>
      </c>
      <c r="L13" s="1" t="s">
        <v>9</v>
      </c>
      <c r="M13" s="4">
        <v>12.2</v>
      </c>
      <c r="N13" s="4">
        <v>13.5</v>
      </c>
      <c r="O13" s="4">
        <v>12.8</v>
      </c>
      <c r="P13" s="4">
        <v>11.2</v>
      </c>
      <c r="Q13" s="4">
        <v>14</v>
      </c>
      <c r="R13" s="2">
        <f t="shared" si="2"/>
        <v>63.7</v>
      </c>
      <c r="S13" s="2">
        <f t="shared" si="3"/>
        <v>12.74</v>
      </c>
      <c r="W13" s="1" t="s">
        <v>9</v>
      </c>
      <c r="X13" s="4">
        <v>14</v>
      </c>
      <c r="Y13" s="4">
        <v>8</v>
      </c>
      <c r="Z13" s="4">
        <v>9</v>
      </c>
      <c r="AA13" s="4">
        <v>9</v>
      </c>
      <c r="AB13" s="4">
        <v>6</v>
      </c>
      <c r="AC13" s="2">
        <f t="shared" si="4"/>
        <v>46</v>
      </c>
      <c r="AD13" s="2">
        <f t="shared" si="5"/>
        <v>9.1999999999999993</v>
      </c>
      <c r="AH13" s="1" t="s">
        <v>9</v>
      </c>
      <c r="AI13" s="4">
        <v>7</v>
      </c>
      <c r="AJ13" s="4">
        <v>6</v>
      </c>
      <c r="AK13" s="4">
        <v>7</v>
      </c>
      <c r="AL13" s="4">
        <v>5</v>
      </c>
      <c r="AM13" s="4">
        <v>4</v>
      </c>
      <c r="AN13" s="4">
        <f t="shared" si="6"/>
        <v>29</v>
      </c>
      <c r="AO13" s="4">
        <f t="shared" si="7"/>
        <v>5.8</v>
      </c>
    </row>
    <row r="14" spans="1:41" x14ac:dyDescent="0.35">
      <c r="A14" s="25"/>
      <c r="B14" s="25"/>
      <c r="C14" s="25"/>
      <c r="D14" s="25"/>
      <c r="E14" s="25"/>
      <c r="F14" s="25"/>
      <c r="G14" s="25"/>
      <c r="H14" s="25"/>
    </row>
    <row r="15" spans="1:41" x14ac:dyDescent="0.35">
      <c r="A15" s="26" t="s">
        <v>0</v>
      </c>
      <c r="B15" s="27" t="s">
        <v>16</v>
      </c>
      <c r="C15" s="27"/>
      <c r="D15" s="27"/>
      <c r="E15" s="27"/>
      <c r="F15" s="27"/>
      <c r="G15" s="26" t="s">
        <v>12</v>
      </c>
      <c r="H15" s="26" t="s">
        <v>13</v>
      </c>
      <c r="L15" s="26" t="s">
        <v>0</v>
      </c>
      <c r="M15" s="27" t="s">
        <v>16</v>
      </c>
      <c r="N15" s="27"/>
      <c r="O15" s="27"/>
      <c r="P15" s="27"/>
      <c r="Q15" s="27"/>
      <c r="R15" s="26" t="s">
        <v>12</v>
      </c>
      <c r="S15" s="26" t="s">
        <v>13</v>
      </c>
      <c r="W15" s="26" t="s">
        <v>0</v>
      </c>
      <c r="X15" s="27" t="s">
        <v>16</v>
      </c>
      <c r="Y15" s="27"/>
      <c r="Z15" s="27"/>
      <c r="AA15" s="27"/>
      <c r="AB15" s="27"/>
      <c r="AC15" s="26" t="s">
        <v>12</v>
      </c>
      <c r="AD15" s="26" t="s">
        <v>13</v>
      </c>
      <c r="AH15" s="26" t="s">
        <v>0</v>
      </c>
      <c r="AI15" s="27" t="s">
        <v>16</v>
      </c>
      <c r="AJ15" s="27"/>
      <c r="AK15" s="27"/>
      <c r="AL15" s="27"/>
      <c r="AM15" s="27"/>
      <c r="AN15" s="26" t="s">
        <v>12</v>
      </c>
      <c r="AO15" s="26" t="s">
        <v>13</v>
      </c>
    </row>
    <row r="16" spans="1:41" x14ac:dyDescent="0.35">
      <c r="A16" s="26"/>
      <c r="B16" s="27" t="s">
        <v>11</v>
      </c>
      <c r="C16" s="27"/>
      <c r="D16" s="27"/>
      <c r="E16" s="27"/>
      <c r="F16" s="27"/>
      <c r="G16" s="26"/>
      <c r="H16" s="26"/>
      <c r="L16" s="26"/>
      <c r="M16" s="27" t="s">
        <v>11</v>
      </c>
      <c r="N16" s="27"/>
      <c r="O16" s="27"/>
      <c r="P16" s="27"/>
      <c r="Q16" s="27"/>
      <c r="R16" s="26"/>
      <c r="S16" s="26"/>
      <c r="W16" s="26"/>
      <c r="X16" s="27" t="s">
        <v>11</v>
      </c>
      <c r="Y16" s="27"/>
      <c r="Z16" s="27"/>
      <c r="AA16" s="27"/>
      <c r="AB16" s="27"/>
      <c r="AC16" s="26"/>
      <c r="AD16" s="26"/>
      <c r="AH16" s="26"/>
      <c r="AI16" s="27" t="s">
        <v>11</v>
      </c>
      <c r="AJ16" s="27"/>
      <c r="AK16" s="27"/>
      <c r="AL16" s="27"/>
      <c r="AM16" s="27"/>
      <c r="AN16" s="26"/>
      <c r="AO16" s="26"/>
    </row>
    <row r="17" spans="1:41" x14ac:dyDescent="0.35">
      <c r="A17" s="26"/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26"/>
      <c r="H17" s="26"/>
      <c r="L17" s="26"/>
      <c r="M17" s="3">
        <v>1</v>
      </c>
      <c r="N17" s="3">
        <v>2</v>
      </c>
      <c r="O17" s="3">
        <v>3</v>
      </c>
      <c r="P17" s="3">
        <v>4</v>
      </c>
      <c r="Q17" s="3">
        <v>5</v>
      </c>
      <c r="R17" s="26"/>
      <c r="S17" s="26"/>
      <c r="W17" s="26"/>
      <c r="X17" s="3">
        <v>1</v>
      </c>
      <c r="Y17" s="3">
        <v>2</v>
      </c>
      <c r="Z17" s="3">
        <v>3</v>
      </c>
      <c r="AA17" s="3">
        <v>4</v>
      </c>
      <c r="AB17" s="3">
        <v>5</v>
      </c>
      <c r="AC17" s="26"/>
      <c r="AD17" s="26"/>
      <c r="AH17" s="26"/>
      <c r="AI17" s="3">
        <v>1</v>
      </c>
      <c r="AJ17" s="3">
        <v>2</v>
      </c>
      <c r="AK17" s="3">
        <v>3</v>
      </c>
      <c r="AL17" s="3">
        <v>4</v>
      </c>
      <c r="AM17" s="3">
        <v>5</v>
      </c>
      <c r="AN17" s="26"/>
      <c r="AO17" s="26"/>
    </row>
    <row r="18" spans="1:41" x14ac:dyDescent="0.35">
      <c r="A18" s="1" t="s">
        <v>6</v>
      </c>
      <c r="B18" s="2">
        <v>2.2999999999999998</v>
      </c>
      <c r="C18" s="2">
        <v>2.7</v>
      </c>
      <c r="D18" s="2">
        <v>4.5</v>
      </c>
      <c r="E18" s="4">
        <v>4.4000000000000004</v>
      </c>
      <c r="F18" s="2">
        <v>2.8</v>
      </c>
      <c r="G18" s="2">
        <f>SUM(B18:F18)</f>
        <v>16.7</v>
      </c>
      <c r="H18" s="2">
        <f>AVERAGE(B18:F18)</f>
        <v>3.34</v>
      </c>
      <c r="L18" s="1" t="s">
        <v>6</v>
      </c>
      <c r="M18" s="4">
        <v>11</v>
      </c>
      <c r="N18" s="4">
        <v>10.5</v>
      </c>
      <c r="O18" s="4">
        <v>12.5</v>
      </c>
      <c r="P18" s="4">
        <v>10.8</v>
      </c>
      <c r="Q18" s="4">
        <v>6.2</v>
      </c>
      <c r="R18" s="2">
        <f>SUM(M18:Q18)</f>
        <v>51</v>
      </c>
      <c r="S18" s="2">
        <f>AVERAGE(M18:Q18)</f>
        <v>10.199999999999999</v>
      </c>
      <c r="W18" s="1" t="s">
        <v>6</v>
      </c>
      <c r="X18" s="4">
        <v>7</v>
      </c>
      <c r="Y18" s="4">
        <v>6</v>
      </c>
      <c r="Z18" s="4">
        <v>10</v>
      </c>
      <c r="AA18" s="4">
        <v>7</v>
      </c>
      <c r="AB18" s="4">
        <v>7</v>
      </c>
      <c r="AC18" s="2">
        <f>SUM(X18:AB18)</f>
        <v>37</v>
      </c>
      <c r="AD18" s="2">
        <f>AVERAGE(X18:AB18)</f>
        <v>7.4</v>
      </c>
      <c r="AH18" s="1" t="s">
        <v>6</v>
      </c>
      <c r="AI18" s="4">
        <v>5</v>
      </c>
      <c r="AJ18" s="4">
        <v>5</v>
      </c>
      <c r="AK18" s="4">
        <v>3</v>
      </c>
      <c r="AL18" s="4">
        <v>3</v>
      </c>
      <c r="AM18" s="4">
        <v>4</v>
      </c>
      <c r="AN18" s="4">
        <f>SUM(AI18:AM18)</f>
        <v>20</v>
      </c>
      <c r="AO18" s="4">
        <f>AVERAGE(AI18:AM18)</f>
        <v>4</v>
      </c>
    </row>
    <row r="19" spans="1:41" x14ac:dyDescent="0.35">
      <c r="A19" s="1" t="s">
        <v>9</v>
      </c>
      <c r="B19" s="2">
        <v>3.2</v>
      </c>
      <c r="C19" s="2">
        <v>4.7</v>
      </c>
      <c r="D19" s="2">
        <v>3.4</v>
      </c>
      <c r="E19" s="2">
        <v>6.3</v>
      </c>
      <c r="F19" s="2">
        <v>2.2000000000000002</v>
      </c>
      <c r="G19" s="2">
        <f t="shared" ref="G19:G26" si="8">SUM(B19:F19)</f>
        <v>19.8</v>
      </c>
      <c r="H19" s="2">
        <f t="shared" ref="H19:H26" si="9">AVERAGE(B19:F19)</f>
        <v>3.96</v>
      </c>
      <c r="L19" s="1" t="s">
        <v>9</v>
      </c>
      <c r="M19" s="4">
        <v>7</v>
      </c>
      <c r="N19" s="4">
        <v>9</v>
      </c>
      <c r="O19" s="4">
        <v>9.8000000000000007</v>
      </c>
      <c r="P19" s="4">
        <v>7.5</v>
      </c>
      <c r="Q19" s="4">
        <v>12.5</v>
      </c>
      <c r="R19" s="2">
        <f t="shared" ref="R19:R26" si="10">SUM(M19:Q19)</f>
        <v>45.8</v>
      </c>
      <c r="S19" s="2">
        <f t="shared" ref="S19:S26" si="11">AVERAGE(M19:Q19)</f>
        <v>9.16</v>
      </c>
      <c r="W19" s="1" t="s">
        <v>9</v>
      </c>
      <c r="X19" s="4">
        <v>6</v>
      </c>
      <c r="Y19" s="4">
        <v>6</v>
      </c>
      <c r="Z19" s="4">
        <v>8</v>
      </c>
      <c r="AA19" s="4">
        <v>6</v>
      </c>
      <c r="AB19" s="4">
        <v>10</v>
      </c>
      <c r="AC19" s="2">
        <f t="shared" ref="AC19:AC26" si="12">SUM(X19:AB19)</f>
        <v>36</v>
      </c>
      <c r="AD19" s="2">
        <f t="shared" ref="AD19:AD26" si="13">AVERAGE(X19:AB19)</f>
        <v>7.2</v>
      </c>
      <c r="AH19" s="1" t="s">
        <v>9</v>
      </c>
      <c r="AI19" s="4">
        <v>4</v>
      </c>
      <c r="AJ19" s="4">
        <v>3</v>
      </c>
      <c r="AK19" s="4">
        <v>4</v>
      </c>
      <c r="AL19" s="4">
        <v>5</v>
      </c>
      <c r="AM19" s="4">
        <v>4</v>
      </c>
      <c r="AN19" s="4">
        <f t="shared" ref="AN19:AN26" si="14">SUM(AI19:AM19)</f>
        <v>20</v>
      </c>
      <c r="AO19" s="4">
        <f t="shared" ref="AO19:AO26" si="15">AVERAGE(AI19:AM19)</f>
        <v>4</v>
      </c>
    </row>
    <row r="20" spans="1:41" x14ac:dyDescent="0.35">
      <c r="A20" s="1" t="s">
        <v>8</v>
      </c>
      <c r="B20" s="2">
        <v>2.7</v>
      </c>
      <c r="C20" s="4">
        <v>3</v>
      </c>
      <c r="D20" s="2">
        <v>3.4</v>
      </c>
      <c r="E20" s="4">
        <v>4</v>
      </c>
      <c r="F20" s="2">
        <v>5.8</v>
      </c>
      <c r="G20" s="2">
        <f t="shared" si="8"/>
        <v>18.899999999999999</v>
      </c>
      <c r="H20" s="2">
        <f t="shared" si="9"/>
        <v>3.78</v>
      </c>
      <c r="L20" s="1" t="s">
        <v>8</v>
      </c>
      <c r="M20" s="4">
        <v>7.5</v>
      </c>
      <c r="N20" s="4">
        <v>11</v>
      </c>
      <c r="O20" s="4">
        <v>10.199999999999999</v>
      </c>
      <c r="P20" s="4">
        <v>8.5</v>
      </c>
      <c r="Q20" s="4">
        <v>9.8000000000000007</v>
      </c>
      <c r="R20" s="2">
        <f t="shared" si="10"/>
        <v>47</v>
      </c>
      <c r="S20" s="2">
        <f t="shared" si="11"/>
        <v>9.4</v>
      </c>
      <c r="W20" s="1" t="s">
        <v>8</v>
      </c>
      <c r="X20" s="4">
        <v>7</v>
      </c>
      <c r="Y20" s="4">
        <v>8</v>
      </c>
      <c r="Z20" s="4">
        <v>8</v>
      </c>
      <c r="AA20" s="4">
        <v>7</v>
      </c>
      <c r="AB20" s="4">
        <v>10</v>
      </c>
      <c r="AC20" s="2">
        <f t="shared" si="12"/>
        <v>40</v>
      </c>
      <c r="AD20" s="2">
        <f t="shared" si="13"/>
        <v>8</v>
      </c>
      <c r="AH20" s="1" t="s">
        <v>8</v>
      </c>
      <c r="AI20" s="4">
        <v>1</v>
      </c>
      <c r="AJ20" s="4">
        <v>4</v>
      </c>
      <c r="AK20" s="4">
        <v>4</v>
      </c>
      <c r="AL20" s="4">
        <v>7</v>
      </c>
      <c r="AM20" s="4">
        <v>3</v>
      </c>
      <c r="AN20" s="4">
        <f t="shared" si="14"/>
        <v>19</v>
      </c>
      <c r="AO20" s="4">
        <f t="shared" si="15"/>
        <v>3.8</v>
      </c>
    </row>
    <row r="21" spans="1:41" x14ac:dyDescent="0.35">
      <c r="A21" s="1" t="s">
        <v>4</v>
      </c>
      <c r="B21" s="2">
        <v>4.4000000000000004</v>
      </c>
      <c r="C21" s="2">
        <v>3.6</v>
      </c>
      <c r="D21" s="2">
        <v>3.3</v>
      </c>
      <c r="E21" s="2">
        <v>4.3</v>
      </c>
      <c r="F21" s="2">
        <v>2.9</v>
      </c>
      <c r="G21" s="2">
        <f t="shared" si="8"/>
        <v>18.5</v>
      </c>
      <c r="H21" s="5">
        <f t="shared" si="9"/>
        <v>3.7</v>
      </c>
      <c r="L21" s="1" t="s">
        <v>4</v>
      </c>
      <c r="M21" s="4">
        <v>11</v>
      </c>
      <c r="N21" s="4">
        <v>10</v>
      </c>
      <c r="O21" s="4">
        <v>7.2</v>
      </c>
      <c r="P21" s="4">
        <v>11.2</v>
      </c>
      <c r="Q21" s="4">
        <v>7</v>
      </c>
      <c r="R21" s="2">
        <f t="shared" si="10"/>
        <v>46.4</v>
      </c>
      <c r="S21" s="5">
        <f t="shared" si="11"/>
        <v>9.2799999999999994</v>
      </c>
      <c r="W21" s="1" t="s">
        <v>4</v>
      </c>
      <c r="X21" s="4">
        <v>4</v>
      </c>
      <c r="Y21" s="4">
        <v>8</v>
      </c>
      <c r="Z21" s="4">
        <v>6</v>
      </c>
      <c r="AA21" s="4">
        <v>10</v>
      </c>
      <c r="AB21" s="4">
        <v>7</v>
      </c>
      <c r="AC21" s="2">
        <f t="shared" si="12"/>
        <v>35</v>
      </c>
      <c r="AD21" s="5">
        <f t="shared" si="13"/>
        <v>7</v>
      </c>
      <c r="AH21" s="1" t="s">
        <v>4</v>
      </c>
      <c r="AI21" s="4">
        <v>2</v>
      </c>
      <c r="AJ21" s="4">
        <v>6</v>
      </c>
      <c r="AK21" s="4">
        <v>4</v>
      </c>
      <c r="AL21" s="4">
        <v>5</v>
      </c>
      <c r="AM21" s="4">
        <v>5</v>
      </c>
      <c r="AN21" s="4">
        <f t="shared" si="14"/>
        <v>22</v>
      </c>
      <c r="AO21" s="4">
        <f t="shared" si="15"/>
        <v>4.4000000000000004</v>
      </c>
    </row>
    <row r="22" spans="1:41" x14ac:dyDescent="0.35">
      <c r="A22" s="1" t="s">
        <v>3</v>
      </c>
      <c r="B22" s="2">
        <v>2.2999999999999998</v>
      </c>
      <c r="C22" s="2">
        <v>2.4</v>
      </c>
      <c r="D22" s="2">
        <v>1.9</v>
      </c>
      <c r="E22" s="4">
        <v>3.7</v>
      </c>
      <c r="F22" s="2">
        <v>2.8</v>
      </c>
      <c r="G22" s="2">
        <f t="shared" si="8"/>
        <v>13.100000000000001</v>
      </c>
      <c r="H22" s="2">
        <f t="shared" si="9"/>
        <v>2.62</v>
      </c>
      <c r="L22" s="1" t="s">
        <v>3</v>
      </c>
      <c r="M22" s="4">
        <v>4</v>
      </c>
      <c r="N22" s="4">
        <v>5</v>
      </c>
      <c r="O22" s="4">
        <v>5.5</v>
      </c>
      <c r="P22" s="4">
        <v>5.8</v>
      </c>
      <c r="Q22" s="4">
        <v>6</v>
      </c>
      <c r="R22" s="2">
        <f t="shared" si="10"/>
        <v>26.3</v>
      </c>
      <c r="S22" s="2">
        <f t="shared" si="11"/>
        <v>5.26</v>
      </c>
      <c r="W22" s="1" t="s">
        <v>3</v>
      </c>
      <c r="X22" s="4">
        <v>5</v>
      </c>
      <c r="Y22" s="4">
        <v>4</v>
      </c>
      <c r="Z22" s="4">
        <v>5</v>
      </c>
      <c r="AA22" s="4">
        <v>7</v>
      </c>
      <c r="AB22" s="4">
        <v>4</v>
      </c>
      <c r="AC22" s="2">
        <f t="shared" si="12"/>
        <v>25</v>
      </c>
      <c r="AD22" s="2">
        <f t="shared" si="13"/>
        <v>5</v>
      </c>
      <c r="AH22" s="1" t="s">
        <v>3</v>
      </c>
      <c r="AI22" s="4">
        <v>3</v>
      </c>
      <c r="AJ22" s="4">
        <v>4</v>
      </c>
      <c r="AK22" s="4">
        <v>2</v>
      </c>
      <c r="AL22" s="4">
        <v>4</v>
      </c>
      <c r="AM22" s="4">
        <v>4</v>
      </c>
      <c r="AN22" s="4">
        <f t="shared" si="14"/>
        <v>17</v>
      </c>
      <c r="AO22" s="4">
        <f t="shared" si="15"/>
        <v>3.4</v>
      </c>
    </row>
    <row r="23" spans="1:41" x14ac:dyDescent="0.35">
      <c r="A23" s="1" t="s">
        <v>7</v>
      </c>
      <c r="B23" s="2">
        <v>2.8</v>
      </c>
      <c r="C23" s="2">
        <v>3.8</v>
      </c>
      <c r="D23" s="2">
        <v>4.8</v>
      </c>
      <c r="E23" s="4">
        <v>5</v>
      </c>
      <c r="F23" s="2">
        <v>3.2</v>
      </c>
      <c r="G23" s="2">
        <f t="shared" si="8"/>
        <v>19.599999999999998</v>
      </c>
      <c r="H23" s="2">
        <f t="shared" si="9"/>
        <v>3.9199999999999995</v>
      </c>
      <c r="L23" s="1" t="s">
        <v>7</v>
      </c>
      <c r="M23" s="4">
        <v>8</v>
      </c>
      <c r="N23" s="4">
        <v>11.2</v>
      </c>
      <c r="O23" s="4">
        <v>9.5</v>
      </c>
      <c r="P23" s="4">
        <v>8.8000000000000007</v>
      </c>
      <c r="Q23" s="4">
        <v>10</v>
      </c>
      <c r="R23" s="2">
        <f t="shared" si="10"/>
        <v>47.5</v>
      </c>
      <c r="S23" s="2">
        <f t="shared" si="11"/>
        <v>9.5</v>
      </c>
      <c r="W23" s="1" t="s">
        <v>7</v>
      </c>
      <c r="X23" s="4">
        <v>8</v>
      </c>
      <c r="Y23" s="4">
        <v>7</v>
      </c>
      <c r="Z23" s="4">
        <v>11</v>
      </c>
      <c r="AA23" s="4">
        <v>8</v>
      </c>
      <c r="AB23" s="4">
        <v>7</v>
      </c>
      <c r="AC23" s="2">
        <f t="shared" si="12"/>
        <v>41</v>
      </c>
      <c r="AD23" s="2">
        <f t="shared" si="13"/>
        <v>8.1999999999999993</v>
      </c>
      <c r="AH23" s="1" t="s">
        <v>7</v>
      </c>
      <c r="AI23" s="4">
        <v>2</v>
      </c>
      <c r="AJ23" s="4">
        <v>5</v>
      </c>
      <c r="AK23" s="4">
        <v>5</v>
      </c>
      <c r="AL23" s="4">
        <v>4</v>
      </c>
      <c r="AM23" s="4">
        <v>4</v>
      </c>
      <c r="AN23" s="4">
        <f t="shared" si="14"/>
        <v>20</v>
      </c>
      <c r="AO23" s="4">
        <f t="shared" si="15"/>
        <v>4</v>
      </c>
    </row>
    <row r="24" spans="1:41" x14ac:dyDescent="0.35">
      <c r="A24" s="1" t="s">
        <v>2</v>
      </c>
      <c r="B24" s="2">
        <v>3.1</v>
      </c>
      <c r="C24" s="2">
        <v>2.5</v>
      </c>
      <c r="D24" s="2">
        <v>3.7</v>
      </c>
      <c r="E24" s="2">
        <v>2.7</v>
      </c>
      <c r="F24" s="4">
        <v>3.7</v>
      </c>
      <c r="G24" s="2">
        <f t="shared" si="8"/>
        <v>15.7</v>
      </c>
      <c r="H24" s="5">
        <f t="shared" si="9"/>
        <v>3.1399999999999997</v>
      </c>
      <c r="L24" s="1" t="s">
        <v>2</v>
      </c>
      <c r="M24" s="4">
        <v>5.5</v>
      </c>
      <c r="N24" s="4">
        <v>5</v>
      </c>
      <c r="O24" s="4">
        <v>6.8</v>
      </c>
      <c r="P24" s="4">
        <v>4</v>
      </c>
      <c r="Q24" s="4">
        <v>6.3</v>
      </c>
      <c r="R24" s="2">
        <f t="shared" si="10"/>
        <v>27.6</v>
      </c>
      <c r="S24" s="5">
        <f t="shared" si="11"/>
        <v>5.5200000000000005</v>
      </c>
      <c r="W24" s="1" t="s">
        <v>2</v>
      </c>
      <c r="X24" s="4">
        <v>5</v>
      </c>
      <c r="Y24" s="4">
        <v>5</v>
      </c>
      <c r="Z24" s="4">
        <v>5</v>
      </c>
      <c r="AA24" s="4">
        <v>4</v>
      </c>
      <c r="AB24" s="4">
        <v>4</v>
      </c>
      <c r="AC24" s="2">
        <f t="shared" si="12"/>
        <v>23</v>
      </c>
      <c r="AD24" s="5">
        <f t="shared" si="13"/>
        <v>4.5999999999999996</v>
      </c>
      <c r="AH24" s="1" t="s">
        <v>2</v>
      </c>
      <c r="AI24" s="4">
        <v>4</v>
      </c>
      <c r="AJ24" s="4">
        <v>3</v>
      </c>
      <c r="AK24" s="4">
        <v>5</v>
      </c>
      <c r="AL24" s="4">
        <v>4</v>
      </c>
      <c r="AM24" s="4">
        <v>3</v>
      </c>
      <c r="AN24" s="4">
        <f t="shared" si="14"/>
        <v>19</v>
      </c>
      <c r="AO24" s="4">
        <f t="shared" si="15"/>
        <v>3.8</v>
      </c>
    </row>
    <row r="25" spans="1:41" x14ac:dyDescent="0.35">
      <c r="A25" s="1" t="s">
        <v>5</v>
      </c>
      <c r="B25" s="2">
        <v>2.5</v>
      </c>
      <c r="C25" s="2">
        <v>2.2000000000000002</v>
      </c>
      <c r="D25" s="2">
        <v>3.9</v>
      </c>
      <c r="E25" s="2">
        <v>3.1</v>
      </c>
      <c r="F25" s="2">
        <v>3.6</v>
      </c>
      <c r="G25" s="2">
        <f t="shared" si="8"/>
        <v>15.299999999999999</v>
      </c>
      <c r="H25" s="5">
        <f t="shared" si="9"/>
        <v>3.0599999999999996</v>
      </c>
      <c r="L25" s="1" t="s">
        <v>5</v>
      </c>
      <c r="M25" s="4">
        <v>4</v>
      </c>
      <c r="N25" s="4">
        <v>6.3</v>
      </c>
      <c r="O25" s="4">
        <v>13.2</v>
      </c>
      <c r="P25" s="4">
        <v>7</v>
      </c>
      <c r="Q25" s="4">
        <v>10.5</v>
      </c>
      <c r="R25" s="2">
        <f t="shared" si="10"/>
        <v>41</v>
      </c>
      <c r="S25" s="5">
        <f t="shared" si="11"/>
        <v>8.1999999999999993</v>
      </c>
      <c r="W25" s="1" t="s">
        <v>5</v>
      </c>
      <c r="X25" s="4">
        <v>4</v>
      </c>
      <c r="Y25" s="4">
        <v>5</v>
      </c>
      <c r="Z25" s="4">
        <v>7</v>
      </c>
      <c r="AA25" s="4">
        <v>5</v>
      </c>
      <c r="AB25" s="4">
        <v>7</v>
      </c>
      <c r="AC25" s="2">
        <f t="shared" si="12"/>
        <v>28</v>
      </c>
      <c r="AD25" s="5">
        <f t="shared" si="13"/>
        <v>5.6</v>
      </c>
      <c r="AH25" s="1" t="s">
        <v>5</v>
      </c>
      <c r="AI25" s="4">
        <v>4</v>
      </c>
      <c r="AJ25" s="4">
        <v>5</v>
      </c>
      <c r="AK25" s="4">
        <v>5</v>
      </c>
      <c r="AL25" s="4">
        <v>3</v>
      </c>
      <c r="AM25" s="4">
        <v>3</v>
      </c>
      <c r="AN25" s="4">
        <f t="shared" si="14"/>
        <v>20</v>
      </c>
      <c r="AO25" s="4">
        <f t="shared" si="15"/>
        <v>4</v>
      </c>
    </row>
    <row r="26" spans="1:41" x14ac:dyDescent="0.35">
      <c r="A26" s="1" t="s">
        <v>1</v>
      </c>
      <c r="B26" s="2">
        <v>3.2</v>
      </c>
      <c r="C26" s="2">
        <v>2.8</v>
      </c>
      <c r="D26" s="2">
        <v>3.4</v>
      </c>
      <c r="E26" s="2">
        <v>2.9</v>
      </c>
      <c r="F26" s="2">
        <v>2.9</v>
      </c>
      <c r="G26" s="2">
        <f t="shared" si="8"/>
        <v>15.200000000000001</v>
      </c>
      <c r="H26" s="2">
        <f t="shared" si="9"/>
        <v>3.04</v>
      </c>
      <c r="L26" s="1" t="s">
        <v>1</v>
      </c>
      <c r="M26" s="4">
        <v>6.5</v>
      </c>
      <c r="N26" s="4">
        <v>5.5</v>
      </c>
      <c r="O26" s="4">
        <v>8</v>
      </c>
      <c r="P26" s="4">
        <v>6</v>
      </c>
      <c r="Q26" s="4">
        <v>4.3</v>
      </c>
      <c r="R26" s="2">
        <f t="shared" si="10"/>
        <v>30.3</v>
      </c>
      <c r="S26" s="2">
        <f t="shared" si="11"/>
        <v>6.0600000000000005</v>
      </c>
      <c r="W26" s="1" t="s">
        <v>1</v>
      </c>
      <c r="X26" s="4">
        <v>5</v>
      </c>
      <c r="Y26" s="4">
        <v>4</v>
      </c>
      <c r="Z26" s="4">
        <v>5</v>
      </c>
      <c r="AA26" s="4">
        <v>5</v>
      </c>
      <c r="AB26" s="4">
        <v>3</v>
      </c>
      <c r="AC26" s="2">
        <f t="shared" si="12"/>
        <v>22</v>
      </c>
      <c r="AD26" s="2">
        <f t="shared" si="13"/>
        <v>4.4000000000000004</v>
      </c>
      <c r="AH26" s="1" t="s">
        <v>1</v>
      </c>
      <c r="AI26" s="4">
        <v>5</v>
      </c>
      <c r="AJ26" s="4">
        <v>4</v>
      </c>
      <c r="AK26" s="4">
        <v>3</v>
      </c>
      <c r="AL26" s="4">
        <v>4</v>
      </c>
      <c r="AM26" s="4">
        <v>2</v>
      </c>
      <c r="AN26" s="4">
        <f t="shared" si="14"/>
        <v>18</v>
      </c>
      <c r="AO26" s="4">
        <f t="shared" si="15"/>
        <v>3.6</v>
      </c>
    </row>
    <row r="27" spans="1:41" x14ac:dyDescent="0.35">
      <c r="A27" s="25"/>
      <c r="B27" s="25"/>
      <c r="C27" s="25"/>
      <c r="D27" s="25"/>
      <c r="E27" s="25"/>
      <c r="F27" s="25"/>
      <c r="G27" s="25"/>
      <c r="H27" s="25"/>
    </row>
    <row r="28" spans="1:41" x14ac:dyDescent="0.35">
      <c r="A28" s="26" t="s">
        <v>0</v>
      </c>
      <c r="B28" s="27" t="s">
        <v>20</v>
      </c>
      <c r="C28" s="27"/>
      <c r="D28" s="27"/>
      <c r="E28" s="27"/>
      <c r="F28" s="27"/>
      <c r="G28" s="26" t="s">
        <v>12</v>
      </c>
      <c r="H28" s="26" t="s">
        <v>13</v>
      </c>
      <c r="L28" s="26" t="s">
        <v>0</v>
      </c>
      <c r="M28" s="27" t="s">
        <v>20</v>
      </c>
      <c r="N28" s="27"/>
      <c r="O28" s="27"/>
      <c r="P28" s="27"/>
      <c r="Q28" s="27"/>
      <c r="R28" s="26" t="s">
        <v>12</v>
      </c>
      <c r="S28" s="26" t="s">
        <v>13</v>
      </c>
      <c r="W28" s="26" t="s">
        <v>0</v>
      </c>
      <c r="X28" s="27" t="s">
        <v>20</v>
      </c>
      <c r="Y28" s="27"/>
      <c r="Z28" s="27"/>
      <c r="AA28" s="27"/>
      <c r="AB28" s="27"/>
      <c r="AC28" s="26" t="s">
        <v>12</v>
      </c>
      <c r="AD28" s="26" t="s">
        <v>13</v>
      </c>
      <c r="AH28" s="26" t="s">
        <v>0</v>
      </c>
      <c r="AI28" s="27" t="s">
        <v>20</v>
      </c>
      <c r="AJ28" s="27"/>
      <c r="AK28" s="27"/>
      <c r="AL28" s="27"/>
      <c r="AM28" s="27"/>
      <c r="AN28" s="26" t="s">
        <v>12</v>
      </c>
      <c r="AO28" s="26" t="s">
        <v>13</v>
      </c>
    </row>
    <row r="29" spans="1:41" x14ac:dyDescent="0.35">
      <c r="A29" s="26"/>
      <c r="B29" s="27" t="s">
        <v>11</v>
      </c>
      <c r="C29" s="27"/>
      <c r="D29" s="27"/>
      <c r="E29" s="27"/>
      <c r="F29" s="27"/>
      <c r="G29" s="26"/>
      <c r="H29" s="26"/>
      <c r="L29" s="26"/>
      <c r="M29" s="27" t="s">
        <v>11</v>
      </c>
      <c r="N29" s="27"/>
      <c r="O29" s="27"/>
      <c r="P29" s="27"/>
      <c r="Q29" s="27"/>
      <c r="R29" s="26"/>
      <c r="S29" s="26"/>
      <c r="W29" s="26"/>
      <c r="X29" s="27" t="s">
        <v>11</v>
      </c>
      <c r="Y29" s="27"/>
      <c r="Z29" s="27"/>
      <c r="AA29" s="27"/>
      <c r="AB29" s="27"/>
      <c r="AC29" s="26"/>
      <c r="AD29" s="26"/>
      <c r="AH29" s="26"/>
      <c r="AI29" s="27" t="s">
        <v>11</v>
      </c>
      <c r="AJ29" s="27"/>
      <c r="AK29" s="27"/>
      <c r="AL29" s="27"/>
      <c r="AM29" s="27"/>
      <c r="AN29" s="26"/>
      <c r="AO29" s="26"/>
    </row>
    <row r="30" spans="1:41" x14ac:dyDescent="0.35">
      <c r="A30" s="26"/>
      <c r="B30" s="3">
        <v>1</v>
      </c>
      <c r="C30" s="3">
        <v>2</v>
      </c>
      <c r="D30" s="3">
        <v>3</v>
      </c>
      <c r="E30" s="3">
        <v>4</v>
      </c>
      <c r="F30" s="3">
        <v>5</v>
      </c>
      <c r="G30" s="26"/>
      <c r="H30" s="26"/>
      <c r="L30" s="26"/>
      <c r="M30" s="3">
        <v>1</v>
      </c>
      <c r="N30" s="3">
        <v>2</v>
      </c>
      <c r="O30" s="3">
        <v>3</v>
      </c>
      <c r="P30" s="3">
        <v>4</v>
      </c>
      <c r="Q30" s="3">
        <v>5</v>
      </c>
      <c r="R30" s="26"/>
      <c r="S30" s="26"/>
      <c r="W30" s="26"/>
      <c r="X30" s="3">
        <v>1</v>
      </c>
      <c r="Y30" s="3">
        <v>2</v>
      </c>
      <c r="Z30" s="3">
        <v>3</v>
      </c>
      <c r="AA30" s="3">
        <v>4</v>
      </c>
      <c r="AB30" s="3">
        <v>5</v>
      </c>
      <c r="AC30" s="26"/>
      <c r="AD30" s="26"/>
      <c r="AH30" s="26"/>
      <c r="AI30" s="3">
        <v>1</v>
      </c>
      <c r="AJ30" s="3">
        <v>2</v>
      </c>
      <c r="AK30" s="3">
        <v>3</v>
      </c>
      <c r="AL30" s="3">
        <v>4</v>
      </c>
      <c r="AM30" s="3">
        <v>5</v>
      </c>
      <c r="AN30" s="26"/>
      <c r="AO30" s="26"/>
    </row>
    <row r="31" spans="1:41" x14ac:dyDescent="0.35">
      <c r="A31" s="1" t="s">
        <v>7</v>
      </c>
      <c r="B31" s="2">
        <v>3.5</v>
      </c>
      <c r="C31" s="2">
        <v>2.1</v>
      </c>
      <c r="D31" s="2">
        <v>2.7</v>
      </c>
      <c r="E31" s="4">
        <v>2.9</v>
      </c>
      <c r="F31" s="2">
        <v>2.9</v>
      </c>
      <c r="G31" s="2">
        <f>SUM(B31:F31)</f>
        <v>14.100000000000001</v>
      </c>
      <c r="H31" s="2">
        <f>AVERAGE(B31:F31)</f>
        <v>2.8200000000000003</v>
      </c>
      <c r="L31" s="1" t="s">
        <v>7</v>
      </c>
      <c r="M31" s="2">
        <v>3.5</v>
      </c>
      <c r="N31" s="2">
        <v>2.1</v>
      </c>
      <c r="O31" s="2">
        <v>2.7</v>
      </c>
      <c r="P31" s="4">
        <v>2.9</v>
      </c>
      <c r="Q31" s="2">
        <v>2.9</v>
      </c>
      <c r="R31" s="2">
        <f>SUM(M31:Q31)</f>
        <v>14.100000000000001</v>
      </c>
      <c r="S31" s="2">
        <f>AVERAGE(M31:Q31)</f>
        <v>2.8200000000000003</v>
      </c>
      <c r="W31" s="1" t="s">
        <v>7</v>
      </c>
      <c r="X31" s="2">
        <v>4</v>
      </c>
      <c r="Y31" s="2">
        <v>4</v>
      </c>
      <c r="Z31" s="2">
        <v>7</v>
      </c>
      <c r="AA31" s="4">
        <v>5</v>
      </c>
      <c r="AB31" s="2">
        <v>5</v>
      </c>
      <c r="AC31" s="2">
        <f>SUM(X31:AB31)</f>
        <v>25</v>
      </c>
      <c r="AD31" s="2">
        <f>AVERAGE(X31:AB31)</f>
        <v>5</v>
      </c>
      <c r="AH31" s="1" t="s">
        <v>7</v>
      </c>
      <c r="AI31" s="4">
        <v>4</v>
      </c>
      <c r="AJ31" s="4">
        <v>4</v>
      </c>
      <c r="AK31" s="4">
        <v>4</v>
      </c>
      <c r="AL31" s="4">
        <v>4</v>
      </c>
      <c r="AM31" s="4">
        <v>3</v>
      </c>
      <c r="AN31" s="4">
        <f>SUM(AI31:AM31)</f>
        <v>19</v>
      </c>
      <c r="AO31" s="4">
        <f>AVERAGE(AI31:AM31)</f>
        <v>3.8</v>
      </c>
    </row>
    <row r="32" spans="1:41" x14ac:dyDescent="0.35">
      <c r="A32" s="1" t="s">
        <v>9</v>
      </c>
      <c r="B32" s="2">
        <v>4.5</v>
      </c>
      <c r="C32" s="2">
        <v>3.5</v>
      </c>
      <c r="D32" s="4">
        <v>4</v>
      </c>
      <c r="E32" s="2">
        <v>2.7</v>
      </c>
      <c r="F32" s="2">
        <v>3.7</v>
      </c>
      <c r="G32" s="2">
        <f t="shared" ref="G32:G39" si="16">SUM(B32:F32)</f>
        <v>18.399999999999999</v>
      </c>
      <c r="H32" s="2">
        <f t="shared" ref="H32:H39" si="17">AVERAGE(B32:F32)</f>
        <v>3.6799999999999997</v>
      </c>
      <c r="L32" s="1" t="s">
        <v>9</v>
      </c>
      <c r="M32" s="2">
        <v>4.5</v>
      </c>
      <c r="N32" s="2">
        <v>3.5</v>
      </c>
      <c r="O32" s="4">
        <v>4</v>
      </c>
      <c r="P32" s="2">
        <v>2.7</v>
      </c>
      <c r="Q32" s="2">
        <v>3.7</v>
      </c>
      <c r="R32" s="2">
        <f t="shared" ref="R32:R39" si="18">SUM(M32:Q32)</f>
        <v>18.399999999999999</v>
      </c>
      <c r="S32" s="2">
        <f t="shared" ref="S32:S39" si="19">AVERAGE(M32:Q32)</f>
        <v>3.6799999999999997</v>
      </c>
      <c r="W32" s="1" t="s">
        <v>9</v>
      </c>
      <c r="X32" s="2">
        <v>6</v>
      </c>
      <c r="Y32" s="2">
        <v>6</v>
      </c>
      <c r="Z32" s="4">
        <v>8</v>
      </c>
      <c r="AA32" s="2">
        <v>7</v>
      </c>
      <c r="AB32" s="2">
        <v>8</v>
      </c>
      <c r="AC32" s="2">
        <f t="shared" ref="AC32:AC39" si="20">SUM(X32:AB32)</f>
        <v>35</v>
      </c>
      <c r="AD32" s="2">
        <f t="shared" ref="AD32:AD39" si="21">AVERAGE(X32:AB32)</f>
        <v>7</v>
      </c>
      <c r="AH32" s="1" t="s">
        <v>9</v>
      </c>
      <c r="AI32" s="4">
        <v>4</v>
      </c>
      <c r="AJ32" s="4">
        <v>5</v>
      </c>
      <c r="AK32" s="4">
        <v>4</v>
      </c>
      <c r="AL32" s="4">
        <v>6</v>
      </c>
      <c r="AM32" s="4">
        <v>5</v>
      </c>
      <c r="AN32" s="4">
        <f t="shared" ref="AN32:AN39" si="22">SUM(AI32:AM32)</f>
        <v>24</v>
      </c>
      <c r="AO32" s="4">
        <f t="shared" ref="AO32:AO39" si="23">AVERAGE(AI32:AM32)</f>
        <v>4.8</v>
      </c>
    </row>
    <row r="33" spans="1:41" x14ac:dyDescent="0.35">
      <c r="A33" s="1" t="s">
        <v>6</v>
      </c>
      <c r="B33" s="2">
        <v>3.7</v>
      </c>
      <c r="C33" s="2">
        <v>3.5</v>
      </c>
      <c r="D33" s="2">
        <v>4.5</v>
      </c>
      <c r="E33" s="2">
        <v>4.2</v>
      </c>
      <c r="F33" s="2">
        <v>3.7</v>
      </c>
      <c r="G33" s="2">
        <f t="shared" si="16"/>
        <v>19.599999999999998</v>
      </c>
      <c r="H33" s="2">
        <f t="shared" si="17"/>
        <v>3.9199999999999995</v>
      </c>
      <c r="L33" s="1" t="s">
        <v>6</v>
      </c>
      <c r="M33" s="2">
        <v>3.7</v>
      </c>
      <c r="N33" s="2">
        <v>3.5</v>
      </c>
      <c r="O33" s="2">
        <v>4.5</v>
      </c>
      <c r="P33" s="2">
        <v>4.2</v>
      </c>
      <c r="Q33" s="2">
        <v>3.7</v>
      </c>
      <c r="R33" s="2">
        <f t="shared" si="18"/>
        <v>19.599999999999998</v>
      </c>
      <c r="S33" s="2">
        <f t="shared" si="19"/>
        <v>3.9199999999999995</v>
      </c>
      <c r="W33" s="1" t="s">
        <v>6</v>
      </c>
      <c r="X33" s="2">
        <v>10</v>
      </c>
      <c r="Y33" s="2">
        <v>9</v>
      </c>
      <c r="Z33" s="2">
        <v>7</v>
      </c>
      <c r="AA33" s="2">
        <v>8</v>
      </c>
      <c r="AB33" s="2">
        <v>6</v>
      </c>
      <c r="AC33" s="2">
        <f t="shared" si="20"/>
        <v>40</v>
      </c>
      <c r="AD33" s="2">
        <f t="shared" si="21"/>
        <v>8</v>
      </c>
      <c r="AH33" s="1" t="s">
        <v>6</v>
      </c>
      <c r="AI33" s="4">
        <v>6</v>
      </c>
      <c r="AJ33" s="4">
        <v>4</v>
      </c>
      <c r="AK33" s="4">
        <v>3</v>
      </c>
      <c r="AL33" s="4">
        <v>3</v>
      </c>
      <c r="AM33" s="4">
        <v>3</v>
      </c>
      <c r="AN33" s="4">
        <f t="shared" si="22"/>
        <v>19</v>
      </c>
      <c r="AO33" s="4">
        <f t="shared" si="23"/>
        <v>3.8</v>
      </c>
    </row>
    <row r="34" spans="1:41" x14ac:dyDescent="0.35">
      <c r="A34" s="1" t="s">
        <v>5</v>
      </c>
      <c r="B34" s="4">
        <v>4</v>
      </c>
      <c r="C34" s="2">
        <v>3.7</v>
      </c>
      <c r="D34" s="2">
        <v>4.0999999999999996</v>
      </c>
      <c r="E34" s="2">
        <v>3.8</v>
      </c>
      <c r="F34" s="2">
        <v>3.3</v>
      </c>
      <c r="G34" s="2">
        <f t="shared" si="16"/>
        <v>18.900000000000002</v>
      </c>
      <c r="H34" s="5">
        <f t="shared" si="17"/>
        <v>3.7800000000000002</v>
      </c>
      <c r="L34" s="1" t="s">
        <v>5</v>
      </c>
      <c r="M34" s="4">
        <v>4</v>
      </c>
      <c r="N34" s="2">
        <v>3.7</v>
      </c>
      <c r="O34" s="2">
        <v>4.0999999999999996</v>
      </c>
      <c r="P34" s="2">
        <v>3.8</v>
      </c>
      <c r="Q34" s="2">
        <v>3.3</v>
      </c>
      <c r="R34" s="2">
        <f t="shared" si="18"/>
        <v>18.900000000000002</v>
      </c>
      <c r="S34" s="5">
        <f t="shared" si="19"/>
        <v>3.7800000000000002</v>
      </c>
      <c r="W34" s="1" t="s">
        <v>5</v>
      </c>
      <c r="X34" s="4">
        <v>10</v>
      </c>
      <c r="Y34" s="2">
        <v>10</v>
      </c>
      <c r="Z34" s="2">
        <v>7</v>
      </c>
      <c r="AA34" s="2">
        <v>6</v>
      </c>
      <c r="AB34" s="2">
        <v>10</v>
      </c>
      <c r="AC34" s="2">
        <f t="shared" si="20"/>
        <v>43</v>
      </c>
      <c r="AD34" s="5">
        <f t="shared" si="21"/>
        <v>8.6</v>
      </c>
      <c r="AH34" s="1" t="s">
        <v>5</v>
      </c>
      <c r="AI34" s="4">
        <v>3</v>
      </c>
      <c r="AJ34" s="4">
        <v>5</v>
      </c>
      <c r="AK34" s="4">
        <v>4</v>
      </c>
      <c r="AL34" s="4">
        <v>5</v>
      </c>
      <c r="AM34" s="4">
        <v>4</v>
      </c>
      <c r="AN34" s="4">
        <f t="shared" si="22"/>
        <v>21</v>
      </c>
      <c r="AO34" s="4">
        <f t="shared" si="23"/>
        <v>4.2</v>
      </c>
    </row>
    <row r="35" spans="1:41" x14ac:dyDescent="0.35">
      <c r="A35" s="1" t="s">
        <v>8</v>
      </c>
      <c r="B35" s="2">
        <v>3.1</v>
      </c>
      <c r="C35" s="2">
        <v>3.2</v>
      </c>
      <c r="D35" s="2">
        <v>3.8</v>
      </c>
      <c r="E35" s="4">
        <v>3.5</v>
      </c>
      <c r="F35" s="2">
        <v>3.7</v>
      </c>
      <c r="G35" s="2">
        <f t="shared" si="16"/>
        <v>17.3</v>
      </c>
      <c r="H35" s="2">
        <f t="shared" si="17"/>
        <v>3.46</v>
      </c>
      <c r="L35" s="1" t="s">
        <v>8</v>
      </c>
      <c r="M35" s="2">
        <v>3.1</v>
      </c>
      <c r="N35" s="2">
        <v>3.2</v>
      </c>
      <c r="O35" s="2">
        <v>3.8</v>
      </c>
      <c r="P35" s="4">
        <v>3.5</v>
      </c>
      <c r="Q35" s="2">
        <v>3.7</v>
      </c>
      <c r="R35" s="2">
        <f t="shared" si="18"/>
        <v>17.3</v>
      </c>
      <c r="S35" s="2">
        <f t="shared" si="19"/>
        <v>3.46</v>
      </c>
      <c r="W35" s="1" t="s">
        <v>8</v>
      </c>
      <c r="X35" s="2">
        <v>9</v>
      </c>
      <c r="Y35" s="2">
        <v>11</v>
      </c>
      <c r="Z35" s="2">
        <v>5</v>
      </c>
      <c r="AA35" s="4">
        <v>10</v>
      </c>
      <c r="AB35" s="2">
        <v>9</v>
      </c>
      <c r="AC35" s="2">
        <f t="shared" si="20"/>
        <v>44</v>
      </c>
      <c r="AD35" s="2">
        <f t="shared" si="21"/>
        <v>8.8000000000000007</v>
      </c>
      <c r="AH35" s="1" t="s">
        <v>8</v>
      </c>
      <c r="AI35" s="4">
        <v>3</v>
      </c>
      <c r="AJ35" s="4">
        <v>5</v>
      </c>
      <c r="AK35" s="4">
        <v>4</v>
      </c>
      <c r="AL35" s="4">
        <v>4</v>
      </c>
      <c r="AM35" s="4">
        <v>3</v>
      </c>
      <c r="AN35" s="4">
        <f t="shared" si="22"/>
        <v>19</v>
      </c>
      <c r="AO35" s="4">
        <f t="shared" si="23"/>
        <v>3.8</v>
      </c>
    </row>
    <row r="36" spans="1:41" x14ac:dyDescent="0.35">
      <c r="A36" s="1" t="s">
        <v>2</v>
      </c>
      <c r="B36" s="2">
        <v>3.6</v>
      </c>
      <c r="C36" s="2">
        <v>4.5</v>
      </c>
      <c r="D36" s="2">
        <v>3.4</v>
      </c>
      <c r="E36" s="2">
        <v>3.3</v>
      </c>
      <c r="F36" s="2">
        <v>3.7</v>
      </c>
      <c r="G36" s="2">
        <f t="shared" si="16"/>
        <v>18.5</v>
      </c>
      <c r="H36" s="5">
        <f t="shared" si="17"/>
        <v>3.7</v>
      </c>
      <c r="L36" s="1" t="s">
        <v>2</v>
      </c>
      <c r="M36" s="2">
        <v>3.6</v>
      </c>
      <c r="N36" s="2">
        <v>4.5</v>
      </c>
      <c r="O36" s="2">
        <v>3.4</v>
      </c>
      <c r="P36" s="2">
        <v>3.3</v>
      </c>
      <c r="Q36" s="2">
        <v>3.7</v>
      </c>
      <c r="R36" s="2">
        <f t="shared" si="18"/>
        <v>18.5</v>
      </c>
      <c r="S36" s="5">
        <f t="shared" si="19"/>
        <v>3.7</v>
      </c>
      <c r="W36" s="1" t="s">
        <v>2</v>
      </c>
      <c r="X36" s="2">
        <v>12</v>
      </c>
      <c r="Y36" s="2">
        <v>8</v>
      </c>
      <c r="Z36" s="2">
        <v>6</v>
      </c>
      <c r="AA36" s="2">
        <v>11</v>
      </c>
      <c r="AB36" s="2">
        <v>10</v>
      </c>
      <c r="AC36" s="2">
        <f t="shared" si="20"/>
        <v>47</v>
      </c>
      <c r="AD36" s="5">
        <f t="shared" si="21"/>
        <v>9.4</v>
      </c>
      <c r="AH36" s="1" t="s">
        <v>2</v>
      </c>
      <c r="AI36" s="4">
        <v>6</v>
      </c>
      <c r="AJ36" s="4">
        <v>3</v>
      </c>
      <c r="AK36" s="4">
        <v>3</v>
      </c>
      <c r="AL36" s="4">
        <v>5</v>
      </c>
      <c r="AM36" s="4">
        <v>4</v>
      </c>
      <c r="AN36" s="4">
        <f t="shared" si="22"/>
        <v>21</v>
      </c>
      <c r="AO36" s="4">
        <f t="shared" si="23"/>
        <v>4.2</v>
      </c>
    </row>
    <row r="37" spans="1:41" x14ac:dyDescent="0.35">
      <c r="A37" s="1" t="s">
        <v>3</v>
      </c>
      <c r="B37" s="2">
        <v>2.9</v>
      </c>
      <c r="C37" s="2">
        <v>3.1</v>
      </c>
      <c r="D37" s="2">
        <v>3.1</v>
      </c>
      <c r="E37" s="2">
        <v>2.8</v>
      </c>
      <c r="F37" s="4">
        <v>3.2</v>
      </c>
      <c r="G37" s="2">
        <f t="shared" si="16"/>
        <v>15.099999999999998</v>
      </c>
      <c r="H37" s="5">
        <f t="shared" si="17"/>
        <v>3.0199999999999996</v>
      </c>
      <c r="L37" s="1" t="s">
        <v>3</v>
      </c>
      <c r="M37" s="2">
        <v>2.9</v>
      </c>
      <c r="N37" s="2">
        <v>3.1</v>
      </c>
      <c r="O37" s="2">
        <v>3.1</v>
      </c>
      <c r="P37" s="2">
        <v>2.8</v>
      </c>
      <c r="Q37" s="4">
        <v>3.2</v>
      </c>
      <c r="R37" s="2">
        <f t="shared" si="18"/>
        <v>15.099999999999998</v>
      </c>
      <c r="S37" s="5">
        <f t="shared" si="19"/>
        <v>3.0199999999999996</v>
      </c>
      <c r="W37" s="1" t="s">
        <v>3</v>
      </c>
      <c r="X37" s="2">
        <v>5</v>
      </c>
      <c r="Y37" s="2">
        <v>5</v>
      </c>
      <c r="Z37" s="2">
        <v>9</v>
      </c>
      <c r="AA37" s="2">
        <v>6</v>
      </c>
      <c r="AB37" s="4">
        <v>8</v>
      </c>
      <c r="AC37" s="2">
        <f t="shared" si="20"/>
        <v>33</v>
      </c>
      <c r="AD37" s="5">
        <f t="shared" si="21"/>
        <v>6.6</v>
      </c>
      <c r="AH37" s="1" t="s">
        <v>3</v>
      </c>
      <c r="AI37" s="4">
        <v>6</v>
      </c>
      <c r="AJ37" s="4">
        <v>3</v>
      </c>
      <c r="AK37" s="4">
        <v>2</v>
      </c>
      <c r="AL37" s="4">
        <v>5</v>
      </c>
      <c r="AM37" s="4">
        <v>3</v>
      </c>
      <c r="AN37" s="4">
        <f t="shared" si="22"/>
        <v>19</v>
      </c>
      <c r="AO37" s="4">
        <f t="shared" si="23"/>
        <v>3.8</v>
      </c>
    </row>
    <row r="38" spans="1:41" x14ac:dyDescent="0.35">
      <c r="A38" s="1" t="s">
        <v>5</v>
      </c>
      <c r="B38" s="2">
        <v>2.9</v>
      </c>
      <c r="C38" s="2">
        <v>2.4</v>
      </c>
      <c r="D38" s="2">
        <v>2.4</v>
      </c>
      <c r="E38" s="2">
        <v>2.1</v>
      </c>
      <c r="F38" s="2">
        <v>2.9</v>
      </c>
      <c r="G38" s="2">
        <f t="shared" si="16"/>
        <v>12.7</v>
      </c>
      <c r="H38" s="5">
        <f t="shared" si="17"/>
        <v>2.54</v>
      </c>
      <c r="L38" s="1" t="s">
        <v>5</v>
      </c>
      <c r="M38" s="2">
        <v>2.9</v>
      </c>
      <c r="N38" s="2">
        <v>2.4</v>
      </c>
      <c r="O38" s="2">
        <v>2.4</v>
      </c>
      <c r="P38" s="2">
        <v>2.1</v>
      </c>
      <c r="Q38" s="2">
        <v>2.9</v>
      </c>
      <c r="R38" s="2">
        <f t="shared" si="18"/>
        <v>12.7</v>
      </c>
      <c r="S38" s="5">
        <f t="shared" si="19"/>
        <v>2.54</v>
      </c>
      <c r="W38" s="1" t="s">
        <v>5</v>
      </c>
      <c r="X38" s="2">
        <v>7</v>
      </c>
      <c r="Y38" s="2">
        <v>4</v>
      </c>
      <c r="Z38" s="2">
        <v>4</v>
      </c>
      <c r="AA38" s="2">
        <v>5</v>
      </c>
      <c r="AB38" s="2">
        <v>6</v>
      </c>
      <c r="AC38" s="2">
        <f t="shared" si="20"/>
        <v>26</v>
      </c>
      <c r="AD38" s="5">
        <f t="shared" si="21"/>
        <v>5.2</v>
      </c>
      <c r="AH38" s="1" t="s">
        <v>5</v>
      </c>
      <c r="AI38" s="4">
        <v>4</v>
      </c>
      <c r="AJ38" s="4">
        <v>4</v>
      </c>
      <c r="AK38" s="4">
        <v>5</v>
      </c>
      <c r="AL38" s="4">
        <v>5</v>
      </c>
      <c r="AM38" s="4">
        <v>4</v>
      </c>
      <c r="AN38" s="4">
        <f t="shared" si="22"/>
        <v>22</v>
      </c>
      <c r="AO38" s="4">
        <f t="shared" si="23"/>
        <v>4.4000000000000004</v>
      </c>
    </row>
    <row r="39" spans="1:41" x14ac:dyDescent="0.35">
      <c r="A39" s="1" t="s">
        <v>1</v>
      </c>
      <c r="B39" s="2">
        <v>3.6</v>
      </c>
      <c r="C39" s="2">
        <v>4.3</v>
      </c>
      <c r="D39" s="2">
        <v>3.4</v>
      </c>
      <c r="E39" s="2">
        <v>3.1</v>
      </c>
      <c r="F39" s="2">
        <v>3.1</v>
      </c>
      <c r="G39" s="2">
        <f t="shared" si="16"/>
        <v>17.5</v>
      </c>
      <c r="H39" s="5">
        <f t="shared" si="17"/>
        <v>3.5</v>
      </c>
      <c r="L39" s="1" t="s">
        <v>1</v>
      </c>
      <c r="M39" s="2">
        <v>3.6</v>
      </c>
      <c r="N39" s="2">
        <v>4.3</v>
      </c>
      <c r="O39" s="2">
        <v>3.4</v>
      </c>
      <c r="P39" s="2">
        <v>3.1</v>
      </c>
      <c r="Q39" s="2">
        <v>3.1</v>
      </c>
      <c r="R39" s="2">
        <f t="shared" si="18"/>
        <v>17.5</v>
      </c>
      <c r="S39" s="5">
        <f t="shared" si="19"/>
        <v>3.5</v>
      </c>
      <c r="W39" s="1" t="s">
        <v>1</v>
      </c>
      <c r="X39" s="2">
        <v>7</v>
      </c>
      <c r="Y39" s="2">
        <v>9</v>
      </c>
      <c r="Z39" s="2">
        <v>11</v>
      </c>
      <c r="AA39" s="2">
        <v>7</v>
      </c>
      <c r="AB39" s="2">
        <v>6</v>
      </c>
      <c r="AC39" s="2">
        <f t="shared" si="20"/>
        <v>40</v>
      </c>
      <c r="AD39" s="5">
        <f t="shared" si="21"/>
        <v>8</v>
      </c>
      <c r="AH39" s="1" t="s">
        <v>1</v>
      </c>
      <c r="AI39" s="4">
        <v>3</v>
      </c>
      <c r="AJ39" s="4">
        <v>5</v>
      </c>
      <c r="AK39" s="4">
        <v>4</v>
      </c>
      <c r="AL39" s="4">
        <v>4</v>
      </c>
      <c r="AM39" s="4">
        <v>3</v>
      </c>
      <c r="AN39" s="4">
        <f t="shared" si="22"/>
        <v>19</v>
      </c>
      <c r="AO39" s="4">
        <f t="shared" si="23"/>
        <v>3.8</v>
      </c>
    </row>
    <row r="41" spans="1:41" x14ac:dyDescent="0.35">
      <c r="A41" s="28" t="s">
        <v>15</v>
      </c>
      <c r="B41" s="28"/>
      <c r="C41" s="28"/>
      <c r="D41" s="28"/>
      <c r="E41" s="28"/>
      <c r="F41" s="28"/>
      <c r="G41" s="28"/>
      <c r="H41" s="28"/>
      <c r="L41" s="30" t="s">
        <v>21</v>
      </c>
      <c r="M41" s="30"/>
      <c r="N41" s="30"/>
      <c r="O41" s="30"/>
      <c r="P41" s="30"/>
      <c r="Q41" s="30"/>
      <c r="R41" s="30"/>
      <c r="S41" s="30"/>
      <c r="W41" s="31" t="s">
        <v>25</v>
      </c>
      <c r="X41" s="31"/>
      <c r="Y41" s="31"/>
      <c r="Z41" s="31"/>
      <c r="AA41" s="31"/>
      <c r="AB41" s="31"/>
      <c r="AC41" s="31"/>
      <c r="AD41" s="31"/>
      <c r="AH41" s="32" t="s">
        <v>27</v>
      </c>
      <c r="AI41" s="32"/>
      <c r="AJ41" s="32"/>
      <c r="AK41" s="32"/>
      <c r="AL41" s="32"/>
      <c r="AM41" s="32"/>
      <c r="AN41" s="32"/>
      <c r="AO41" s="32"/>
    </row>
    <row r="42" spans="1:41" x14ac:dyDescent="0.35">
      <c r="A42" s="26" t="s">
        <v>0</v>
      </c>
      <c r="B42" s="27" t="s">
        <v>10</v>
      </c>
      <c r="C42" s="27"/>
      <c r="D42" s="27"/>
      <c r="E42" s="27"/>
      <c r="F42" s="27"/>
      <c r="G42" s="26" t="s">
        <v>12</v>
      </c>
      <c r="H42" s="26" t="s">
        <v>13</v>
      </c>
      <c r="L42" s="26" t="s">
        <v>0</v>
      </c>
      <c r="M42" s="27" t="s">
        <v>10</v>
      </c>
      <c r="N42" s="27"/>
      <c r="O42" s="27"/>
      <c r="P42" s="27"/>
      <c r="Q42" s="27"/>
      <c r="R42" s="26" t="s">
        <v>12</v>
      </c>
      <c r="S42" s="26" t="s">
        <v>13</v>
      </c>
      <c r="W42" s="26" t="s">
        <v>0</v>
      </c>
      <c r="X42" s="27" t="s">
        <v>10</v>
      </c>
      <c r="Y42" s="27"/>
      <c r="Z42" s="27"/>
      <c r="AA42" s="27"/>
      <c r="AB42" s="27"/>
      <c r="AC42" s="26" t="s">
        <v>12</v>
      </c>
      <c r="AD42" s="26" t="s">
        <v>13</v>
      </c>
      <c r="AH42" s="26" t="s">
        <v>0</v>
      </c>
      <c r="AI42" s="27" t="s">
        <v>10</v>
      </c>
      <c r="AJ42" s="27"/>
      <c r="AK42" s="27"/>
      <c r="AL42" s="27"/>
      <c r="AM42" s="27"/>
      <c r="AN42" s="26" t="s">
        <v>12</v>
      </c>
      <c r="AO42" s="26" t="s">
        <v>13</v>
      </c>
    </row>
    <row r="43" spans="1:41" x14ac:dyDescent="0.35">
      <c r="A43" s="26"/>
      <c r="B43" s="27" t="s">
        <v>11</v>
      </c>
      <c r="C43" s="27"/>
      <c r="D43" s="27"/>
      <c r="E43" s="27"/>
      <c r="F43" s="27"/>
      <c r="G43" s="26"/>
      <c r="H43" s="26"/>
      <c r="L43" s="26"/>
      <c r="M43" s="27" t="s">
        <v>11</v>
      </c>
      <c r="N43" s="27"/>
      <c r="O43" s="27"/>
      <c r="P43" s="27"/>
      <c r="Q43" s="27"/>
      <c r="R43" s="26"/>
      <c r="S43" s="26"/>
      <c r="W43" s="26"/>
      <c r="X43" s="27" t="s">
        <v>11</v>
      </c>
      <c r="Y43" s="27"/>
      <c r="Z43" s="27"/>
      <c r="AA43" s="27"/>
      <c r="AB43" s="27"/>
      <c r="AC43" s="26"/>
      <c r="AD43" s="26"/>
      <c r="AH43" s="26"/>
      <c r="AI43" s="27" t="s">
        <v>11</v>
      </c>
      <c r="AJ43" s="27"/>
      <c r="AK43" s="27"/>
      <c r="AL43" s="27"/>
      <c r="AM43" s="27"/>
      <c r="AN43" s="26"/>
      <c r="AO43" s="26"/>
    </row>
    <row r="44" spans="1:41" x14ac:dyDescent="0.35">
      <c r="A44" s="26"/>
      <c r="B44" s="3">
        <v>1</v>
      </c>
      <c r="C44" s="3">
        <v>2</v>
      </c>
      <c r="D44" s="3">
        <v>3</v>
      </c>
      <c r="E44" s="3">
        <v>4</v>
      </c>
      <c r="F44" s="3">
        <v>5</v>
      </c>
      <c r="G44" s="26"/>
      <c r="H44" s="26"/>
      <c r="L44" s="26"/>
      <c r="M44" s="3">
        <v>1</v>
      </c>
      <c r="N44" s="3">
        <v>2</v>
      </c>
      <c r="O44" s="3">
        <v>3</v>
      </c>
      <c r="P44" s="3">
        <v>4</v>
      </c>
      <c r="Q44" s="3">
        <v>5</v>
      </c>
      <c r="R44" s="26"/>
      <c r="S44" s="26"/>
      <c r="W44" s="26"/>
      <c r="X44" s="3">
        <v>1</v>
      </c>
      <c r="Y44" s="3">
        <v>2</v>
      </c>
      <c r="Z44" s="3">
        <v>3</v>
      </c>
      <c r="AA44" s="3">
        <v>4</v>
      </c>
      <c r="AB44" s="3">
        <v>5</v>
      </c>
      <c r="AC44" s="26"/>
      <c r="AD44" s="26"/>
      <c r="AH44" s="26"/>
      <c r="AI44" s="3">
        <v>1</v>
      </c>
      <c r="AJ44" s="3">
        <v>2</v>
      </c>
      <c r="AK44" s="3">
        <v>3</v>
      </c>
      <c r="AL44" s="3">
        <v>4</v>
      </c>
      <c r="AM44" s="3">
        <v>5</v>
      </c>
      <c r="AN44" s="26"/>
      <c r="AO44" s="26"/>
    </row>
    <row r="45" spans="1:41" x14ac:dyDescent="0.35">
      <c r="A45" s="1" t="s">
        <v>1</v>
      </c>
      <c r="B45" s="2">
        <v>13.4</v>
      </c>
      <c r="C45" s="2">
        <v>10.3</v>
      </c>
      <c r="D45" s="2">
        <v>13.9</v>
      </c>
      <c r="E45" s="4">
        <v>12.6</v>
      </c>
      <c r="F45" s="2">
        <v>13.2</v>
      </c>
      <c r="G45" s="2">
        <f>SUM(B45:F45)</f>
        <v>63.400000000000006</v>
      </c>
      <c r="H45" s="2">
        <f>AVERAGE(B45:F45)</f>
        <v>12.680000000000001</v>
      </c>
      <c r="L45" s="1" t="s">
        <v>1</v>
      </c>
      <c r="M45" s="4">
        <v>21.5</v>
      </c>
      <c r="N45" s="4">
        <v>19.5</v>
      </c>
      <c r="O45" s="4">
        <v>25</v>
      </c>
      <c r="P45" s="4">
        <v>20.8</v>
      </c>
      <c r="Q45" s="4">
        <v>21</v>
      </c>
      <c r="R45" s="2">
        <f>SUM(M45:Q45)</f>
        <v>107.8</v>
      </c>
      <c r="S45" s="2">
        <f>AVERAGE(M45:Q45)</f>
        <v>21.56</v>
      </c>
      <c r="W45" s="1" t="s">
        <v>1</v>
      </c>
      <c r="X45" s="4">
        <v>17</v>
      </c>
      <c r="Y45" s="4">
        <v>15</v>
      </c>
      <c r="Z45" s="4">
        <v>16</v>
      </c>
      <c r="AA45" s="4">
        <v>16</v>
      </c>
      <c r="AB45" s="4">
        <v>11</v>
      </c>
      <c r="AC45" s="2">
        <f>SUM(X45:AB45)</f>
        <v>75</v>
      </c>
      <c r="AD45" s="2">
        <f>AVERAGE(X45:AB45)</f>
        <v>15</v>
      </c>
      <c r="AH45" s="1" t="s">
        <v>1</v>
      </c>
      <c r="AI45" s="5">
        <v>6</v>
      </c>
      <c r="AJ45" s="5">
        <v>5</v>
      </c>
      <c r="AK45" s="5">
        <v>5</v>
      </c>
      <c r="AL45" s="5">
        <v>5</v>
      </c>
      <c r="AM45" s="5">
        <v>4</v>
      </c>
      <c r="AN45" s="5">
        <f>SUM(AI45:AM45)</f>
        <v>25</v>
      </c>
      <c r="AO45" s="5">
        <f>AVERAGE(AI45:AM45)</f>
        <v>5</v>
      </c>
    </row>
    <row r="46" spans="1:41" x14ac:dyDescent="0.35">
      <c r="A46" s="1" t="s">
        <v>2</v>
      </c>
      <c r="B46" s="2">
        <v>10.199999999999999</v>
      </c>
      <c r="C46" s="2">
        <v>14</v>
      </c>
      <c r="D46" s="2">
        <v>13.2</v>
      </c>
      <c r="E46" s="2">
        <v>10.7</v>
      </c>
      <c r="F46" s="2">
        <v>11.2</v>
      </c>
      <c r="G46" s="2">
        <f t="shared" ref="G46:G53" si="24">SUM(B46:F46)</f>
        <v>59.3</v>
      </c>
      <c r="H46" s="2">
        <f t="shared" ref="H46:H53" si="25">AVERAGE(B46:F46)</f>
        <v>11.86</v>
      </c>
      <c r="L46" s="1" t="s">
        <v>2</v>
      </c>
      <c r="M46" s="4">
        <v>21.5</v>
      </c>
      <c r="N46" s="4">
        <v>20.5</v>
      </c>
      <c r="O46" s="4">
        <v>23.5</v>
      </c>
      <c r="P46" s="4">
        <v>17</v>
      </c>
      <c r="Q46" s="4">
        <v>20</v>
      </c>
      <c r="R46" s="2">
        <f t="shared" ref="R46:R53" si="26">SUM(M46:Q46)</f>
        <v>102.5</v>
      </c>
      <c r="S46" s="2">
        <f t="shared" ref="S46:S53" si="27">AVERAGE(M46:Q46)</f>
        <v>20.5</v>
      </c>
      <c r="W46" s="1" t="s">
        <v>2</v>
      </c>
      <c r="X46" s="4">
        <v>18</v>
      </c>
      <c r="Y46" s="4">
        <v>19</v>
      </c>
      <c r="Z46" s="4">
        <v>16</v>
      </c>
      <c r="AA46" s="4">
        <v>15</v>
      </c>
      <c r="AB46" s="4">
        <v>17</v>
      </c>
      <c r="AC46" s="2">
        <f t="shared" ref="AC46:AC53" si="28">SUM(X46:AB46)</f>
        <v>85</v>
      </c>
      <c r="AD46" s="2">
        <f t="shared" ref="AD46:AD53" si="29">AVERAGE(X46:AB46)</f>
        <v>17</v>
      </c>
      <c r="AH46" s="1" t="s">
        <v>2</v>
      </c>
      <c r="AI46" s="5">
        <v>7</v>
      </c>
      <c r="AJ46" s="5">
        <v>6</v>
      </c>
      <c r="AK46" s="5">
        <v>6</v>
      </c>
      <c r="AL46" s="5">
        <v>6</v>
      </c>
      <c r="AM46" s="5">
        <v>6</v>
      </c>
      <c r="AN46" s="5">
        <f t="shared" ref="AN46:AN53" si="30">SUM(AI46:AM46)</f>
        <v>31</v>
      </c>
      <c r="AO46" s="5">
        <f t="shared" ref="AO46:AO53" si="31">AVERAGE(AI46:AM46)</f>
        <v>6.2</v>
      </c>
    </row>
    <row r="47" spans="1:41" x14ac:dyDescent="0.35">
      <c r="A47" s="1" t="s">
        <v>3</v>
      </c>
      <c r="B47" s="4">
        <v>9.6</v>
      </c>
      <c r="C47" s="2">
        <v>13.4</v>
      </c>
      <c r="D47" s="2">
        <v>10.7</v>
      </c>
      <c r="E47" s="2">
        <v>12.4</v>
      </c>
      <c r="F47" s="2">
        <v>11.5</v>
      </c>
      <c r="G47" s="2">
        <f t="shared" si="24"/>
        <v>57.6</v>
      </c>
      <c r="H47" s="2">
        <f t="shared" si="25"/>
        <v>11.52</v>
      </c>
      <c r="L47" s="1" t="s">
        <v>3</v>
      </c>
      <c r="M47" s="4">
        <v>17.5</v>
      </c>
      <c r="N47" s="4">
        <v>24</v>
      </c>
      <c r="O47" s="4">
        <v>17</v>
      </c>
      <c r="P47" s="4">
        <v>25</v>
      </c>
      <c r="Q47" s="4">
        <v>17</v>
      </c>
      <c r="R47" s="2">
        <f t="shared" si="26"/>
        <v>100.5</v>
      </c>
      <c r="S47" s="2">
        <f t="shared" si="27"/>
        <v>20.100000000000001</v>
      </c>
      <c r="W47" s="1" t="s">
        <v>3</v>
      </c>
      <c r="X47" s="4">
        <v>16</v>
      </c>
      <c r="Y47" s="4">
        <v>16</v>
      </c>
      <c r="Z47" s="4">
        <v>15</v>
      </c>
      <c r="AA47" s="4">
        <v>16</v>
      </c>
      <c r="AB47" s="4">
        <v>16</v>
      </c>
      <c r="AC47" s="2">
        <f t="shared" si="28"/>
        <v>79</v>
      </c>
      <c r="AD47" s="2">
        <f t="shared" si="29"/>
        <v>15.8</v>
      </c>
      <c r="AH47" s="1" t="s">
        <v>3</v>
      </c>
      <c r="AI47" s="5">
        <v>2</v>
      </c>
      <c r="AJ47" s="5">
        <v>4</v>
      </c>
      <c r="AK47" s="5">
        <v>6</v>
      </c>
      <c r="AL47" s="5">
        <v>6</v>
      </c>
      <c r="AM47" s="5">
        <v>5</v>
      </c>
      <c r="AN47" s="5">
        <f t="shared" si="30"/>
        <v>23</v>
      </c>
      <c r="AO47" s="5">
        <f t="shared" si="31"/>
        <v>4.5999999999999996</v>
      </c>
    </row>
    <row r="48" spans="1:41" x14ac:dyDescent="0.35">
      <c r="A48" s="1" t="s">
        <v>4</v>
      </c>
      <c r="B48" s="4">
        <v>10</v>
      </c>
      <c r="C48" s="2">
        <v>12.7</v>
      </c>
      <c r="D48" s="2">
        <v>10.6</v>
      </c>
      <c r="E48" s="2">
        <v>13.4</v>
      </c>
      <c r="F48" s="2">
        <v>11.5</v>
      </c>
      <c r="G48" s="4">
        <f t="shared" si="24"/>
        <v>58.199999999999996</v>
      </c>
      <c r="H48" s="5">
        <f t="shared" si="25"/>
        <v>11.639999999999999</v>
      </c>
      <c r="L48" s="1" t="s">
        <v>4</v>
      </c>
      <c r="M48" s="4">
        <v>18</v>
      </c>
      <c r="N48" s="4">
        <v>22</v>
      </c>
      <c r="O48" s="4">
        <v>17</v>
      </c>
      <c r="P48" s="4">
        <v>15.4</v>
      </c>
      <c r="Q48" s="4">
        <v>14.6</v>
      </c>
      <c r="R48" s="4">
        <f t="shared" si="26"/>
        <v>87</v>
      </c>
      <c r="S48" s="5">
        <f t="shared" si="27"/>
        <v>17.399999999999999</v>
      </c>
      <c r="W48" s="1" t="s">
        <v>4</v>
      </c>
      <c r="X48" s="4">
        <v>17</v>
      </c>
      <c r="Y48" s="4">
        <v>18</v>
      </c>
      <c r="Z48" s="4">
        <v>16</v>
      </c>
      <c r="AA48" s="4">
        <v>17</v>
      </c>
      <c r="AB48" s="4">
        <v>17</v>
      </c>
      <c r="AC48" s="4">
        <f t="shared" si="28"/>
        <v>85</v>
      </c>
      <c r="AD48" s="5">
        <f t="shared" si="29"/>
        <v>17</v>
      </c>
      <c r="AH48" s="1" t="s">
        <v>4</v>
      </c>
      <c r="AI48" s="5">
        <v>8</v>
      </c>
      <c r="AJ48" s="5">
        <v>6</v>
      </c>
      <c r="AK48" s="5">
        <v>6</v>
      </c>
      <c r="AL48" s="5">
        <v>7</v>
      </c>
      <c r="AM48" s="5">
        <v>7</v>
      </c>
      <c r="AN48" s="5">
        <f t="shared" si="30"/>
        <v>34</v>
      </c>
      <c r="AO48" s="5">
        <f t="shared" si="31"/>
        <v>6.8</v>
      </c>
    </row>
    <row r="49" spans="1:41" x14ac:dyDescent="0.35">
      <c r="A49" s="1" t="s">
        <v>5</v>
      </c>
      <c r="B49" s="2">
        <v>15.36</v>
      </c>
      <c r="C49" s="2">
        <v>14.47</v>
      </c>
      <c r="D49" s="2">
        <v>12.6</v>
      </c>
      <c r="E49" s="4">
        <v>12.3</v>
      </c>
      <c r="F49" s="2">
        <v>11.5</v>
      </c>
      <c r="G49" s="4">
        <f t="shared" si="24"/>
        <v>66.23</v>
      </c>
      <c r="H49" s="5">
        <f>AVERAGE(B49:F49)</f>
        <v>13.246</v>
      </c>
      <c r="L49" s="1" t="s">
        <v>5</v>
      </c>
      <c r="M49" s="4">
        <v>17.399999999999999</v>
      </c>
      <c r="N49" s="4">
        <v>21.7</v>
      </c>
      <c r="O49" s="4">
        <v>21.8</v>
      </c>
      <c r="P49" s="4">
        <v>19.8</v>
      </c>
      <c r="Q49" s="4">
        <v>19.3</v>
      </c>
      <c r="R49" s="2">
        <f t="shared" si="26"/>
        <v>99.999999999999986</v>
      </c>
      <c r="S49" s="2">
        <f t="shared" si="27"/>
        <v>19.999999999999996</v>
      </c>
      <c r="W49" s="1" t="s">
        <v>5</v>
      </c>
      <c r="X49" s="4">
        <v>16</v>
      </c>
      <c r="Y49" s="4">
        <v>17</v>
      </c>
      <c r="Z49" s="4">
        <v>16</v>
      </c>
      <c r="AA49" s="4">
        <v>17</v>
      </c>
      <c r="AB49" s="4">
        <v>18</v>
      </c>
      <c r="AC49" s="2">
        <f t="shared" si="28"/>
        <v>84</v>
      </c>
      <c r="AD49" s="2">
        <f t="shared" si="29"/>
        <v>16.8</v>
      </c>
      <c r="AH49" s="1" t="s">
        <v>5</v>
      </c>
      <c r="AI49" s="5">
        <v>7</v>
      </c>
      <c r="AJ49" s="5">
        <v>7</v>
      </c>
      <c r="AK49" s="5">
        <v>7</v>
      </c>
      <c r="AL49" s="5">
        <v>6</v>
      </c>
      <c r="AM49" s="5">
        <v>8</v>
      </c>
      <c r="AN49" s="5">
        <f t="shared" si="30"/>
        <v>35</v>
      </c>
      <c r="AO49" s="5">
        <f t="shared" si="31"/>
        <v>7</v>
      </c>
    </row>
    <row r="50" spans="1:41" x14ac:dyDescent="0.35">
      <c r="A50" s="1" t="s">
        <v>6</v>
      </c>
      <c r="B50" s="2">
        <v>15.8</v>
      </c>
      <c r="C50" s="2">
        <v>13.7</v>
      </c>
      <c r="D50" s="2">
        <v>13.3</v>
      </c>
      <c r="E50" s="2">
        <v>11.4</v>
      </c>
      <c r="F50" s="2">
        <v>12.3</v>
      </c>
      <c r="G50" s="2">
        <f t="shared" si="24"/>
        <v>66.5</v>
      </c>
      <c r="H50" s="2">
        <f t="shared" si="25"/>
        <v>13.3</v>
      </c>
      <c r="L50" s="1" t="s">
        <v>6</v>
      </c>
      <c r="M50" s="4">
        <v>16.8</v>
      </c>
      <c r="N50" s="4">
        <v>14</v>
      </c>
      <c r="O50" s="4">
        <v>16.7</v>
      </c>
      <c r="P50" s="4">
        <v>16</v>
      </c>
      <c r="Q50" s="4">
        <v>23</v>
      </c>
      <c r="R50" s="2">
        <f t="shared" si="26"/>
        <v>86.5</v>
      </c>
      <c r="S50" s="2">
        <f t="shared" si="27"/>
        <v>17.3</v>
      </c>
      <c r="W50" s="1" t="s">
        <v>6</v>
      </c>
      <c r="X50" s="4">
        <v>14</v>
      </c>
      <c r="Y50" s="4">
        <v>12</v>
      </c>
      <c r="Z50" s="4">
        <v>14</v>
      </c>
      <c r="AA50" s="4">
        <v>13</v>
      </c>
      <c r="AB50" s="4">
        <v>14</v>
      </c>
      <c r="AC50" s="2">
        <f t="shared" si="28"/>
        <v>67</v>
      </c>
      <c r="AD50" s="2">
        <f t="shared" si="29"/>
        <v>13.4</v>
      </c>
      <c r="AH50" s="1" t="s">
        <v>6</v>
      </c>
      <c r="AI50" s="5">
        <v>4</v>
      </c>
      <c r="AJ50" s="5">
        <v>7</v>
      </c>
      <c r="AK50" s="5">
        <v>6</v>
      </c>
      <c r="AL50" s="5">
        <v>6</v>
      </c>
      <c r="AM50" s="5">
        <v>7</v>
      </c>
      <c r="AN50" s="5">
        <f t="shared" si="30"/>
        <v>30</v>
      </c>
      <c r="AO50" s="5">
        <f t="shared" si="31"/>
        <v>6</v>
      </c>
    </row>
    <row r="51" spans="1:41" x14ac:dyDescent="0.35">
      <c r="A51" s="1" t="s">
        <v>7</v>
      </c>
      <c r="B51" s="2">
        <v>12.9</v>
      </c>
      <c r="C51" s="2">
        <v>14.9</v>
      </c>
      <c r="D51" s="2">
        <v>12.3</v>
      </c>
      <c r="E51" s="2">
        <v>12.9</v>
      </c>
      <c r="F51" s="4">
        <v>11.1</v>
      </c>
      <c r="G51" s="4">
        <f t="shared" si="24"/>
        <v>64.099999999999994</v>
      </c>
      <c r="H51" s="5">
        <f t="shared" si="25"/>
        <v>12.819999999999999</v>
      </c>
      <c r="L51" s="1" t="s">
        <v>7</v>
      </c>
      <c r="M51" s="4">
        <v>17</v>
      </c>
      <c r="N51" s="4">
        <v>22.6</v>
      </c>
      <c r="O51" s="4">
        <v>20</v>
      </c>
      <c r="P51" s="4">
        <v>17.3</v>
      </c>
      <c r="Q51" s="4">
        <v>23.8</v>
      </c>
      <c r="R51" s="4">
        <f t="shared" si="26"/>
        <v>100.7</v>
      </c>
      <c r="S51" s="5">
        <f t="shared" si="27"/>
        <v>20.14</v>
      </c>
      <c r="W51" s="1" t="s">
        <v>7</v>
      </c>
      <c r="X51" s="4">
        <v>13</v>
      </c>
      <c r="Y51" s="4">
        <v>13</v>
      </c>
      <c r="Z51" s="4">
        <v>12</v>
      </c>
      <c r="AA51" s="4">
        <v>14</v>
      </c>
      <c r="AB51" s="4">
        <v>15</v>
      </c>
      <c r="AC51" s="4">
        <f t="shared" si="28"/>
        <v>67</v>
      </c>
      <c r="AD51" s="5">
        <f t="shared" si="29"/>
        <v>13.4</v>
      </c>
      <c r="AH51" s="1" t="s">
        <v>7</v>
      </c>
      <c r="AI51" s="5">
        <v>5</v>
      </c>
      <c r="AJ51" s="5">
        <v>5</v>
      </c>
      <c r="AK51" s="5">
        <v>5</v>
      </c>
      <c r="AL51" s="5">
        <v>7</v>
      </c>
      <c r="AM51" s="5">
        <v>5</v>
      </c>
      <c r="AN51" s="5">
        <f t="shared" si="30"/>
        <v>27</v>
      </c>
      <c r="AO51" s="5">
        <f t="shared" si="31"/>
        <v>5.4</v>
      </c>
    </row>
    <row r="52" spans="1:41" x14ac:dyDescent="0.35">
      <c r="A52" s="1" t="s">
        <v>8</v>
      </c>
      <c r="B52" s="2">
        <v>10.199999999999999</v>
      </c>
      <c r="C52" s="2">
        <v>14.1</v>
      </c>
      <c r="D52" s="2">
        <v>11.5</v>
      </c>
      <c r="E52" s="2">
        <v>13.4</v>
      </c>
      <c r="F52" s="2">
        <v>12.3</v>
      </c>
      <c r="G52" s="2">
        <f t="shared" si="24"/>
        <v>61.5</v>
      </c>
      <c r="H52" s="5">
        <f t="shared" si="25"/>
        <v>12.3</v>
      </c>
      <c r="L52" s="1" t="s">
        <v>8</v>
      </c>
      <c r="M52" s="4">
        <v>20.5</v>
      </c>
      <c r="N52" s="4">
        <v>25</v>
      </c>
      <c r="O52" s="4">
        <v>18</v>
      </c>
      <c r="P52" s="4">
        <v>17.600000000000001</v>
      </c>
      <c r="Q52" s="4">
        <v>20.8</v>
      </c>
      <c r="R52" s="2">
        <f t="shared" si="26"/>
        <v>101.89999999999999</v>
      </c>
      <c r="S52" s="5">
        <f t="shared" si="27"/>
        <v>20.38</v>
      </c>
      <c r="W52" s="1" t="s">
        <v>8</v>
      </c>
      <c r="X52" s="4">
        <v>14</v>
      </c>
      <c r="Y52" s="4">
        <v>13</v>
      </c>
      <c r="Z52" s="4">
        <v>13</v>
      </c>
      <c r="AA52" s="4">
        <v>14</v>
      </c>
      <c r="AB52" s="4">
        <v>13</v>
      </c>
      <c r="AC52" s="2">
        <f t="shared" si="28"/>
        <v>67</v>
      </c>
      <c r="AD52" s="5">
        <f t="shared" si="29"/>
        <v>13.4</v>
      </c>
      <c r="AH52" s="1" t="s">
        <v>8</v>
      </c>
      <c r="AI52" s="5">
        <v>5</v>
      </c>
      <c r="AJ52" s="5">
        <v>5</v>
      </c>
      <c r="AK52" s="5">
        <v>6</v>
      </c>
      <c r="AL52" s="5">
        <v>5</v>
      </c>
      <c r="AM52" s="5">
        <v>6</v>
      </c>
      <c r="AN52" s="5">
        <f t="shared" si="30"/>
        <v>27</v>
      </c>
      <c r="AO52" s="5">
        <f t="shared" si="31"/>
        <v>5.4</v>
      </c>
    </row>
    <row r="53" spans="1:41" x14ac:dyDescent="0.35">
      <c r="A53" s="1" t="s">
        <v>9</v>
      </c>
      <c r="B53" s="2">
        <v>12.1</v>
      </c>
      <c r="C53" s="2">
        <v>12.5</v>
      </c>
      <c r="D53" s="2">
        <v>11.8</v>
      </c>
      <c r="E53" s="2">
        <v>12.2</v>
      </c>
      <c r="F53" s="2">
        <v>11.7</v>
      </c>
      <c r="G53" s="2">
        <f t="shared" si="24"/>
        <v>60.300000000000011</v>
      </c>
      <c r="H53" s="2">
        <f t="shared" si="25"/>
        <v>12.060000000000002</v>
      </c>
      <c r="L53" s="1" t="s">
        <v>9</v>
      </c>
      <c r="M53" s="4">
        <v>20.8</v>
      </c>
      <c r="N53" s="4">
        <v>22.3</v>
      </c>
      <c r="O53" s="4">
        <v>19.600000000000001</v>
      </c>
      <c r="P53" s="4">
        <v>21.2</v>
      </c>
      <c r="Q53" s="4">
        <v>19.2</v>
      </c>
      <c r="R53" s="2">
        <f t="shared" si="26"/>
        <v>103.10000000000001</v>
      </c>
      <c r="S53" s="2">
        <f t="shared" si="27"/>
        <v>20.62</v>
      </c>
      <c r="W53" s="1" t="s">
        <v>9</v>
      </c>
      <c r="X53" s="4">
        <v>16</v>
      </c>
      <c r="Y53" s="4">
        <v>18</v>
      </c>
      <c r="Z53" s="4">
        <v>15</v>
      </c>
      <c r="AA53" s="4">
        <v>15</v>
      </c>
      <c r="AB53" s="4">
        <v>16</v>
      </c>
      <c r="AC53" s="2">
        <f t="shared" si="28"/>
        <v>80</v>
      </c>
      <c r="AD53" s="2">
        <f t="shared" si="29"/>
        <v>16</v>
      </c>
      <c r="AH53" s="1" t="s">
        <v>9</v>
      </c>
      <c r="AI53" s="5">
        <v>8</v>
      </c>
      <c r="AJ53" s="5">
        <v>7</v>
      </c>
      <c r="AK53" s="5">
        <v>7</v>
      </c>
      <c r="AL53" s="5">
        <v>7</v>
      </c>
      <c r="AM53" s="5">
        <v>6</v>
      </c>
      <c r="AN53" s="5">
        <f t="shared" si="30"/>
        <v>35</v>
      </c>
      <c r="AO53" s="5">
        <f t="shared" si="31"/>
        <v>7</v>
      </c>
    </row>
    <row r="54" spans="1:41" x14ac:dyDescent="0.35">
      <c r="A54" s="25"/>
      <c r="B54" s="25"/>
      <c r="C54" s="25"/>
      <c r="D54" s="25"/>
      <c r="E54" s="25"/>
      <c r="F54" s="25"/>
      <c r="G54" s="25"/>
      <c r="H54" s="25"/>
    </row>
    <row r="55" spans="1:41" x14ac:dyDescent="0.35">
      <c r="A55" s="26" t="s">
        <v>0</v>
      </c>
      <c r="B55" s="27" t="s">
        <v>16</v>
      </c>
      <c r="C55" s="27"/>
      <c r="D55" s="27"/>
      <c r="E55" s="27"/>
      <c r="F55" s="27"/>
      <c r="G55" s="26" t="s">
        <v>12</v>
      </c>
      <c r="H55" s="26" t="s">
        <v>13</v>
      </c>
      <c r="L55" s="26" t="s">
        <v>0</v>
      </c>
      <c r="M55" s="27" t="s">
        <v>16</v>
      </c>
      <c r="N55" s="27"/>
      <c r="O55" s="27"/>
      <c r="P55" s="27"/>
      <c r="Q55" s="27"/>
      <c r="R55" s="26" t="s">
        <v>12</v>
      </c>
      <c r="S55" s="26" t="s">
        <v>13</v>
      </c>
      <c r="W55" s="26" t="s">
        <v>0</v>
      </c>
      <c r="X55" s="27" t="s">
        <v>16</v>
      </c>
      <c r="Y55" s="27"/>
      <c r="Z55" s="27"/>
      <c r="AA55" s="27"/>
      <c r="AB55" s="27"/>
      <c r="AC55" s="26" t="s">
        <v>12</v>
      </c>
      <c r="AD55" s="26" t="s">
        <v>13</v>
      </c>
      <c r="AH55" s="26" t="s">
        <v>0</v>
      </c>
      <c r="AI55" s="27" t="s">
        <v>16</v>
      </c>
      <c r="AJ55" s="27"/>
      <c r="AK55" s="27"/>
      <c r="AL55" s="27"/>
      <c r="AM55" s="27"/>
      <c r="AN55" s="26" t="s">
        <v>12</v>
      </c>
      <c r="AO55" s="26" t="s">
        <v>13</v>
      </c>
    </row>
    <row r="56" spans="1:41" x14ac:dyDescent="0.35">
      <c r="A56" s="26"/>
      <c r="B56" s="27" t="s">
        <v>11</v>
      </c>
      <c r="C56" s="27"/>
      <c r="D56" s="27"/>
      <c r="E56" s="27"/>
      <c r="F56" s="27"/>
      <c r="G56" s="26"/>
      <c r="H56" s="26"/>
      <c r="L56" s="26"/>
      <c r="M56" s="27" t="s">
        <v>11</v>
      </c>
      <c r="N56" s="27"/>
      <c r="O56" s="27"/>
      <c r="P56" s="27"/>
      <c r="Q56" s="27"/>
      <c r="R56" s="26"/>
      <c r="S56" s="26"/>
      <c r="W56" s="26"/>
      <c r="X56" s="27" t="s">
        <v>11</v>
      </c>
      <c r="Y56" s="27"/>
      <c r="Z56" s="27"/>
      <c r="AA56" s="27"/>
      <c r="AB56" s="27"/>
      <c r="AC56" s="26"/>
      <c r="AD56" s="26"/>
      <c r="AH56" s="26"/>
      <c r="AI56" s="27" t="s">
        <v>11</v>
      </c>
      <c r="AJ56" s="27"/>
      <c r="AK56" s="27"/>
      <c r="AL56" s="27"/>
      <c r="AM56" s="27"/>
      <c r="AN56" s="26"/>
      <c r="AO56" s="26"/>
    </row>
    <row r="57" spans="1:41" x14ac:dyDescent="0.35">
      <c r="A57" s="26"/>
      <c r="B57" s="3">
        <v>1</v>
      </c>
      <c r="C57" s="3">
        <v>2</v>
      </c>
      <c r="D57" s="3">
        <v>3</v>
      </c>
      <c r="E57" s="3">
        <v>4</v>
      </c>
      <c r="F57" s="3">
        <v>5</v>
      </c>
      <c r="G57" s="26"/>
      <c r="H57" s="26"/>
      <c r="L57" s="26"/>
      <c r="M57" s="3">
        <v>1</v>
      </c>
      <c r="N57" s="3">
        <v>2</v>
      </c>
      <c r="O57" s="3">
        <v>3</v>
      </c>
      <c r="P57" s="3">
        <v>4</v>
      </c>
      <c r="Q57" s="3">
        <v>5</v>
      </c>
      <c r="R57" s="26"/>
      <c r="S57" s="26"/>
      <c r="W57" s="26"/>
      <c r="X57" s="3">
        <v>1</v>
      </c>
      <c r="Y57" s="3">
        <v>2</v>
      </c>
      <c r="Z57" s="3">
        <v>3</v>
      </c>
      <c r="AA57" s="3">
        <v>4</v>
      </c>
      <c r="AB57" s="3">
        <v>5</v>
      </c>
      <c r="AC57" s="26"/>
      <c r="AD57" s="26"/>
      <c r="AH57" s="26"/>
      <c r="AI57" s="3">
        <v>1</v>
      </c>
      <c r="AJ57" s="3">
        <v>2</v>
      </c>
      <c r="AK57" s="3">
        <v>3</v>
      </c>
      <c r="AL57" s="3">
        <v>4</v>
      </c>
      <c r="AM57" s="3">
        <v>5</v>
      </c>
      <c r="AN57" s="26"/>
      <c r="AO57" s="26"/>
    </row>
    <row r="58" spans="1:41" x14ac:dyDescent="0.35">
      <c r="A58" s="1" t="s">
        <v>6</v>
      </c>
      <c r="B58" s="2">
        <v>12.2</v>
      </c>
      <c r="C58" s="2">
        <v>13</v>
      </c>
      <c r="D58" s="2">
        <v>12.6</v>
      </c>
      <c r="E58" s="4">
        <v>11.8</v>
      </c>
      <c r="F58" s="2">
        <v>10</v>
      </c>
      <c r="G58" s="2">
        <f>SUM(B58:F58)</f>
        <v>59.599999999999994</v>
      </c>
      <c r="H58" s="2">
        <f>AVERAGE(B58:F58)</f>
        <v>11.919999999999998</v>
      </c>
      <c r="L58" s="1" t="s">
        <v>6</v>
      </c>
      <c r="M58" s="4">
        <v>21</v>
      </c>
      <c r="N58" s="4">
        <v>17</v>
      </c>
      <c r="O58" s="4">
        <v>24</v>
      </c>
      <c r="P58" s="4">
        <v>18</v>
      </c>
      <c r="Q58" s="4">
        <v>15.5</v>
      </c>
      <c r="R58" s="2">
        <f>SUM(M58:Q58)</f>
        <v>95.5</v>
      </c>
      <c r="S58" s="2">
        <f>AVERAGE(M58:Q58)</f>
        <v>19.100000000000001</v>
      </c>
      <c r="W58" s="1" t="s">
        <v>6</v>
      </c>
      <c r="X58" s="4">
        <v>11</v>
      </c>
      <c r="Y58" s="4">
        <v>12</v>
      </c>
      <c r="Z58" s="4">
        <v>14</v>
      </c>
      <c r="AA58" s="4">
        <v>13</v>
      </c>
      <c r="AB58" s="4">
        <v>12</v>
      </c>
      <c r="AC58" s="2">
        <f>SUM(X58:AB58)</f>
        <v>62</v>
      </c>
      <c r="AD58" s="2">
        <f>AVERAGE(X58:AB58)</f>
        <v>12.4</v>
      </c>
      <c r="AH58" s="1" t="s">
        <v>6</v>
      </c>
      <c r="AI58" s="5">
        <v>6</v>
      </c>
      <c r="AJ58" s="5">
        <v>6</v>
      </c>
      <c r="AK58" s="5">
        <v>5</v>
      </c>
      <c r="AL58" s="5">
        <v>5</v>
      </c>
      <c r="AM58" s="5">
        <v>6</v>
      </c>
      <c r="AN58" s="5">
        <f>SUM(AI58:AM58)</f>
        <v>28</v>
      </c>
      <c r="AO58" s="5">
        <f>AVERAGE(AI58:AM58)</f>
        <v>5.6</v>
      </c>
    </row>
    <row r="59" spans="1:41" x14ac:dyDescent="0.35">
      <c r="A59" s="1" t="s">
        <v>9</v>
      </c>
      <c r="B59" s="2">
        <v>10.6</v>
      </c>
      <c r="C59" s="2">
        <v>11.5</v>
      </c>
      <c r="D59" s="2">
        <v>13.3</v>
      </c>
      <c r="E59" s="2">
        <v>12</v>
      </c>
      <c r="F59" s="2">
        <v>11.4</v>
      </c>
      <c r="G59" s="2">
        <f t="shared" ref="G59:G66" si="32">SUM(B59:F59)</f>
        <v>58.800000000000004</v>
      </c>
      <c r="H59" s="2">
        <f t="shared" ref="H59:H66" si="33">AVERAGE(B59:F59)</f>
        <v>11.760000000000002</v>
      </c>
      <c r="L59" s="1" t="s">
        <v>9</v>
      </c>
      <c r="M59" s="4">
        <v>18.5</v>
      </c>
      <c r="N59" s="4">
        <v>17</v>
      </c>
      <c r="O59" s="4">
        <v>22.5</v>
      </c>
      <c r="P59" s="4">
        <v>16</v>
      </c>
      <c r="Q59" s="4">
        <v>21.5</v>
      </c>
      <c r="R59" s="2">
        <f t="shared" ref="R59:R66" si="34">SUM(M59:Q59)</f>
        <v>95.5</v>
      </c>
      <c r="S59" s="2">
        <f t="shared" ref="S59:S66" si="35">AVERAGE(M59:Q59)</f>
        <v>19.100000000000001</v>
      </c>
      <c r="W59" s="1" t="s">
        <v>9</v>
      </c>
      <c r="X59" s="4">
        <v>15</v>
      </c>
      <c r="Y59" s="4">
        <v>14</v>
      </c>
      <c r="Z59" s="4">
        <v>15</v>
      </c>
      <c r="AA59" s="4">
        <v>14</v>
      </c>
      <c r="AB59" s="4">
        <v>12</v>
      </c>
      <c r="AC59" s="2">
        <f t="shared" ref="AC59:AC66" si="36">SUM(X59:AB59)</f>
        <v>70</v>
      </c>
      <c r="AD59" s="2">
        <f t="shared" ref="AD59:AD66" si="37">AVERAGE(X59:AB59)</f>
        <v>14</v>
      </c>
      <c r="AH59" s="1" t="s">
        <v>9</v>
      </c>
      <c r="AI59" s="5">
        <v>6</v>
      </c>
      <c r="AJ59" s="5">
        <v>6</v>
      </c>
      <c r="AK59" s="5">
        <v>6</v>
      </c>
      <c r="AL59" s="5">
        <v>7</v>
      </c>
      <c r="AM59" s="5">
        <v>7</v>
      </c>
      <c r="AN59" s="5">
        <f t="shared" ref="AN59:AN66" si="38">SUM(AI59:AM59)</f>
        <v>32</v>
      </c>
      <c r="AO59" s="5">
        <f t="shared" ref="AO59:AO66" si="39">AVERAGE(AI59:AM59)</f>
        <v>6.4</v>
      </c>
    </row>
    <row r="60" spans="1:41" x14ac:dyDescent="0.35">
      <c r="A60" s="1" t="s">
        <v>8</v>
      </c>
      <c r="B60" s="2">
        <v>11</v>
      </c>
      <c r="C60" s="4">
        <v>14.4</v>
      </c>
      <c r="D60" s="2">
        <v>10.4</v>
      </c>
      <c r="E60" s="4">
        <v>10.6</v>
      </c>
      <c r="F60" s="2">
        <v>14</v>
      </c>
      <c r="G60" s="2">
        <f t="shared" si="32"/>
        <v>60.4</v>
      </c>
      <c r="H60" s="2">
        <f t="shared" si="33"/>
        <v>12.08</v>
      </c>
      <c r="L60" s="1" t="s">
        <v>8</v>
      </c>
      <c r="M60" s="4">
        <v>17.5</v>
      </c>
      <c r="N60" s="4">
        <v>20</v>
      </c>
      <c r="O60" s="4">
        <v>20.5</v>
      </c>
      <c r="P60" s="4">
        <v>16.3</v>
      </c>
      <c r="Q60" s="4">
        <v>24</v>
      </c>
      <c r="R60" s="2">
        <f t="shared" si="34"/>
        <v>98.3</v>
      </c>
      <c r="S60" s="2">
        <f t="shared" si="35"/>
        <v>19.66</v>
      </c>
      <c r="W60" s="1" t="s">
        <v>8</v>
      </c>
      <c r="X60" s="4">
        <v>12</v>
      </c>
      <c r="Y60" s="4">
        <v>11</v>
      </c>
      <c r="Z60" s="4">
        <v>12</v>
      </c>
      <c r="AA60" s="4">
        <v>11</v>
      </c>
      <c r="AB60" s="4">
        <v>12</v>
      </c>
      <c r="AC60" s="2">
        <f t="shared" si="36"/>
        <v>58</v>
      </c>
      <c r="AD60" s="2">
        <f t="shared" si="37"/>
        <v>11.6</v>
      </c>
      <c r="AH60" s="1" t="s">
        <v>8</v>
      </c>
      <c r="AI60" s="5">
        <v>3</v>
      </c>
      <c r="AJ60" s="5">
        <v>5</v>
      </c>
      <c r="AK60" s="5">
        <v>5</v>
      </c>
      <c r="AL60" s="5">
        <v>7</v>
      </c>
      <c r="AM60" s="5">
        <v>4</v>
      </c>
      <c r="AN60" s="5">
        <f t="shared" si="38"/>
        <v>24</v>
      </c>
      <c r="AO60" s="5">
        <f t="shared" si="39"/>
        <v>4.8</v>
      </c>
    </row>
    <row r="61" spans="1:41" x14ac:dyDescent="0.35">
      <c r="A61" s="1" t="s">
        <v>4</v>
      </c>
      <c r="B61" s="2">
        <v>11</v>
      </c>
      <c r="C61" s="2">
        <v>10</v>
      </c>
      <c r="D61" s="2">
        <v>12.3</v>
      </c>
      <c r="E61" s="2">
        <v>11.9</v>
      </c>
      <c r="F61" s="2">
        <v>13.7</v>
      </c>
      <c r="G61" s="2">
        <f t="shared" si="32"/>
        <v>58.899999999999991</v>
      </c>
      <c r="H61" s="5">
        <f t="shared" si="33"/>
        <v>11.779999999999998</v>
      </c>
      <c r="L61" s="1" t="s">
        <v>4</v>
      </c>
      <c r="M61" s="4">
        <v>18</v>
      </c>
      <c r="N61" s="4">
        <v>16.3</v>
      </c>
      <c r="O61" s="4">
        <v>17</v>
      </c>
      <c r="P61" s="4">
        <v>19.399999999999999</v>
      </c>
      <c r="Q61" s="4">
        <v>18.7</v>
      </c>
      <c r="R61" s="2">
        <f t="shared" si="34"/>
        <v>89.399999999999991</v>
      </c>
      <c r="S61" s="5">
        <f t="shared" si="35"/>
        <v>17.88</v>
      </c>
      <c r="W61" s="1" t="s">
        <v>4</v>
      </c>
      <c r="X61" s="4">
        <v>15</v>
      </c>
      <c r="Y61" s="4">
        <v>14</v>
      </c>
      <c r="Z61" s="4">
        <v>12</v>
      </c>
      <c r="AA61" s="4">
        <v>14</v>
      </c>
      <c r="AB61" s="4">
        <v>12</v>
      </c>
      <c r="AC61" s="2">
        <f t="shared" si="36"/>
        <v>67</v>
      </c>
      <c r="AD61" s="5">
        <f t="shared" si="37"/>
        <v>13.4</v>
      </c>
      <c r="AH61" s="1" t="s">
        <v>4</v>
      </c>
      <c r="AI61" s="5">
        <v>5</v>
      </c>
      <c r="AJ61" s="5">
        <v>7</v>
      </c>
      <c r="AK61" s="5">
        <v>6</v>
      </c>
      <c r="AL61" s="5">
        <v>7</v>
      </c>
      <c r="AM61" s="5">
        <v>7</v>
      </c>
      <c r="AN61" s="5">
        <f t="shared" si="38"/>
        <v>32</v>
      </c>
      <c r="AO61" s="5">
        <f t="shared" si="39"/>
        <v>6.4</v>
      </c>
    </row>
    <row r="62" spans="1:41" x14ac:dyDescent="0.35">
      <c r="A62" s="1" t="s">
        <v>3</v>
      </c>
      <c r="B62" s="2">
        <v>9.6999999999999993</v>
      </c>
      <c r="C62" s="2">
        <v>11.1</v>
      </c>
      <c r="D62" s="2">
        <v>10.1</v>
      </c>
      <c r="E62" s="4">
        <v>11</v>
      </c>
      <c r="F62" s="2">
        <v>9.8000000000000007</v>
      </c>
      <c r="G62" s="2">
        <f t="shared" si="32"/>
        <v>51.7</v>
      </c>
      <c r="H62" s="2">
        <f t="shared" si="33"/>
        <v>10.34</v>
      </c>
      <c r="L62" s="1" t="s">
        <v>3</v>
      </c>
      <c r="M62" s="4">
        <v>11.2</v>
      </c>
      <c r="N62" s="4">
        <v>11.7</v>
      </c>
      <c r="O62" s="4">
        <v>13</v>
      </c>
      <c r="P62" s="4">
        <v>16.3</v>
      </c>
      <c r="Q62" s="4">
        <v>13.2</v>
      </c>
      <c r="R62" s="2">
        <f t="shared" si="34"/>
        <v>65.400000000000006</v>
      </c>
      <c r="S62" s="2">
        <f t="shared" si="35"/>
        <v>13.080000000000002</v>
      </c>
      <c r="W62" s="1" t="s">
        <v>3</v>
      </c>
      <c r="X62" s="4">
        <v>9</v>
      </c>
      <c r="Y62" s="4">
        <v>10</v>
      </c>
      <c r="Z62" s="4">
        <v>9</v>
      </c>
      <c r="AA62" s="4">
        <v>12</v>
      </c>
      <c r="AB62" s="4">
        <v>9</v>
      </c>
      <c r="AC62" s="2">
        <f t="shared" si="36"/>
        <v>49</v>
      </c>
      <c r="AD62" s="2">
        <f t="shared" si="37"/>
        <v>9.8000000000000007</v>
      </c>
      <c r="AH62" s="1" t="s">
        <v>3</v>
      </c>
      <c r="AI62" s="5">
        <v>4</v>
      </c>
      <c r="AJ62" s="5">
        <v>5</v>
      </c>
      <c r="AK62" s="5">
        <v>4</v>
      </c>
      <c r="AL62" s="5">
        <v>5</v>
      </c>
      <c r="AM62" s="5">
        <v>5</v>
      </c>
      <c r="AN62" s="5">
        <f t="shared" si="38"/>
        <v>23</v>
      </c>
      <c r="AO62" s="5">
        <f t="shared" si="39"/>
        <v>4.5999999999999996</v>
      </c>
    </row>
    <row r="63" spans="1:41" x14ac:dyDescent="0.35">
      <c r="A63" s="1" t="s">
        <v>7</v>
      </c>
      <c r="B63" s="2">
        <v>11.5</v>
      </c>
      <c r="C63" s="2">
        <v>13</v>
      </c>
      <c r="D63" s="2">
        <v>10.4</v>
      </c>
      <c r="E63" s="4">
        <v>14.2</v>
      </c>
      <c r="F63" s="2">
        <v>13.2</v>
      </c>
      <c r="G63" s="2">
        <f t="shared" si="32"/>
        <v>62.3</v>
      </c>
      <c r="H63" s="2">
        <f t="shared" si="33"/>
        <v>12.459999999999999</v>
      </c>
      <c r="L63" s="1" t="s">
        <v>7</v>
      </c>
      <c r="M63" s="4">
        <v>15.3</v>
      </c>
      <c r="N63" s="4">
        <v>18.7</v>
      </c>
      <c r="O63" s="4">
        <v>21.8</v>
      </c>
      <c r="P63" s="4">
        <v>20.3</v>
      </c>
      <c r="Q63" s="4">
        <v>17</v>
      </c>
      <c r="R63" s="2">
        <f t="shared" si="34"/>
        <v>93.1</v>
      </c>
      <c r="S63" s="2">
        <f t="shared" si="35"/>
        <v>18.619999999999997</v>
      </c>
      <c r="W63" s="1" t="s">
        <v>7</v>
      </c>
      <c r="X63" s="4">
        <v>11</v>
      </c>
      <c r="Y63" s="4">
        <v>14</v>
      </c>
      <c r="Z63" s="4">
        <v>13</v>
      </c>
      <c r="AA63" s="4">
        <v>11</v>
      </c>
      <c r="AB63" s="4">
        <v>11</v>
      </c>
      <c r="AC63" s="2">
        <f t="shared" si="36"/>
        <v>60</v>
      </c>
      <c r="AD63" s="2">
        <f t="shared" si="37"/>
        <v>12</v>
      </c>
      <c r="AH63" s="1" t="s">
        <v>7</v>
      </c>
      <c r="AI63" s="5">
        <v>5</v>
      </c>
      <c r="AJ63" s="5">
        <v>6</v>
      </c>
      <c r="AK63" s="5">
        <v>6</v>
      </c>
      <c r="AL63" s="5">
        <v>6</v>
      </c>
      <c r="AM63" s="5">
        <v>6</v>
      </c>
      <c r="AN63" s="5">
        <f t="shared" si="38"/>
        <v>29</v>
      </c>
      <c r="AO63" s="5">
        <f t="shared" si="39"/>
        <v>5.8</v>
      </c>
    </row>
    <row r="64" spans="1:41" x14ac:dyDescent="0.35">
      <c r="A64" s="1" t="s">
        <v>2</v>
      </c>
      <c r="B64" s="2">
        <v>12</v>
      </c>
      <c r="C64" s="2">
        <v>10.199999999999999</v>
      </c>
      <c r="D64" s="2">
        <v>10.3</v>
      </c>
      <c r="E64" s="2">
        <v>9.5</v>
      </c>
      <c r="F64" s="4">
        <v>11.3</v>
      </c>
      <c r="G64" s="2">
        <f t="shared" si="32"/>
        <v>53.3</v>
      </c>
      <c r="H64" s="5">
        <f t="shared" si="33"/>
        <v>10.66</v>
      </c>
      <c r="L64" s="1" t="s">
        <v>2</v>
      </c>
      <c r="M64" s="4">
        <v>13</v>
      </c>
      <c r="N64" s="4">
        <v>12.4</v>
      </c>
      <c r="O64" s="4">
        <v>16</v>
      </c>
      <c r="P64" s="4">
        <v>14.4</v>
      </c>
      <c r="Q64" s="4">
        <v>15.5</v>
      </c>
      <c r="R64" s="2">
        <f t="shared" si="34"/>
        <v>71.3</v>
      </c>
      <c r="S64" s="5">
        <f t="shared" si="35"/>
        <v>14.26</v>
      </c>
      <c r="W64" s="1" t="s">
        <v>2</v>
      </c>
      <c r="X64" s="4">
        <v>11</v>
      </c>
      <c r="Y64" s="4">
        <v>11</v>
      </c>
      <c r="Z64" s="4">
        <v>9</v>
      </c>
      <c r="AA64" s="4">
        <v>11</v>
      </c>
      <c r="AB64" s="4">
        <v>11</v>
      </c>
      <c r="AC64" s="2">
        <f t="shared" si="36"/>
        <v>53</v>
      </c>
      <c r="AD64" s="5">
        <f t="shared" si="37"/>
        <v>10.6</v>
      </c>
      <c r="AH64" s="1" t="s">
        <v>2</v>
      </c>
      <c r="AI64" s="5">
        <v>5</v>
      </c>
      <c r="AJ64" s="5">
        <v>5</v>
      </c>
      <c r="AK64" s="5">
        <v>6</v>
      </c>
      <c r="AL64" s="5">
        <v>6</v>
      </c>
      <c r="AM64" s="5">
        <v>5</v>
      </c>
      <c r="AN64" s="5">
        <f t="shared" si="38"/>
        <v>27</v>
      </c>
      <c r="AO64" s="5">
        <f t="shared" si="39"/>
        <v>5.4</v>
      </c>
    </row>
    <row r="65" spans="1:41" x14ac:dyDescent="0.35">
      <c r="A65" s="1" t="s">
        <v>5</v>
      </c>
      <c r="B65" s="2">
        <v>9.8000000000000007</v>
      </c>
      <c r="C65" s="2">
        <v>11</v>
      </c>
      <c r="D65" s="2">
        <v>11.1</v>
      </c>
      <c r="E65" s="2">
        <v>11</v>
      </c>
      <c r="F65" s="2">
        <v>12.7</v>
      </c>
      <c r="G65" s="2">
        <f t="shared" si="32"/>
        <v>55.599999999999994</v>
      </c>
      <c r="H65" s="5">
        <f t="shared" si="33"/>
        <v>11.12</v>
      </c>
      <c r="L65" s="1" t="s">
        <v>5</v>
      </c>
      <c r="M65" s="4">
        <v>9.4</v>
      </c>
      <c r="N65" s="4">
        <v>15.8</v>
      </c>
      <c r="O65" s="4">
        <v>18.3</v>
      </c>
      <c r="P65" s="4">
        <v>13.5</v>
      </c>
      <c r="Q65" s="4">
        <v>16.399999999999999</v>
      </c>
      <c r="R65" s="2">
        <f t="shared" si="34"/>
        <v>73.400000000000006</v>
      </c>
      <c r="S65" s="5">
        <f t="shared" si="35"/>
        <v>14.680000000000001</v>
      </c>
      <c r="W65" s="1" t="s">
        <v>5</v>
      </c>
      <c r="X65" s="4">
        <v>12</v>
      </c>
      <c r="Y65" s="4">
        <v>12</v>
      </c>
      <c r="Z65" s="4">
        <v>15</v>
      </c>
      <c r="AA65" s="4">
        <v>13</v>
      </c>
      <c r="AB65" s="4">
        <v>14</v>
      </c>
      <c r="AC65" s="2">
        <f t="shared" si="36"/>
        <v>66</v>
      </c>
      <c r="AD65" s="5">
        <f t="shared" si="37"/>
        <v>13.2</v>
      </c>
      <c r="AH65" s="1" t="s">
        <v>5</v>
      </c>
      <c r="AI65" s="5">
        <v>6</v>
      </c>
      <c r="AJ65" s="5">
        <v>7</v>
      </c>
      <c r="AK65" s="5">
        <v>7</v>
      </c>
      <c r="AL65" s="5">
        <v>5</v>
      </c>
      <c r="AM65" s="5">
        <v>6</v>
      </c>
      <c r="AN65" s="5">
        <f t="shared" si="38"/>
        <v>31</v>
      </c>
      <c r="AO65" s="5">
        <f t="shared" si="39"/>
        <v>6.2</v>
      </c>
    </row>
    <row r="66" spans="1:41" x14ac:dyDescent="0.35">
      <c r="A66" s="1" t="s">
        <v>1</v>
      </c>
      <c r="B66" s="2">
        <v>11.3</v>
      </c>
      <c r="C66" s="2">
        <v>10.9</v>
      </c>
      <c r="D66" s="2">
        <v>13.1</v>
      </c>
      <c r="E66" s="2">
        <v>12.5</v>
      </c>
      <c r="F66" s="2">
        <v>10.9</v>
      </c>
      <c r="G66" s="2">
        <f t="shared" si="32"/>
        <v>58.7</v>
      </c>
      <c r="H66" s="2">
        <f t="shared" si="33"/>
        <v>11.74</v>
      </c>
      <c r="L66" s="1" t="s">
        <v>1</v>
      </c>
      <c r="M66" s="4">
        <v>17.399999999999999</v>
      </c>
      <c r="N66" s="4">
        <v>13</v>
      </c>
      <c r="O66" s="4">
        <v>18.5</v>
      </c>
      <c r="P66" s="4">
        <v>14.3</v>
      </c>
      <c r="Q66" s="4">
        <v>12</v>
      </c>
      <c r="R66" s="2">
        <f t="shared" si="34"/>
        <v>75.2</v>
      </c>
      <c r="S66" s="2">
        <f t="shared" si="35"/>
        <v>15.040000000000001</v>
      </c>
      <c r="W66" s="1" t="s">
        <v>1</v>
      </c>
      <c r="X66" s="4">
        <v>12</v>
      </c>
      <c r="Y66" s="4">
        <v>11</v>
      </c>
      <c r="Z66" s="4">
        <v>11</v>
      </c>
      <c r="AA66" s="4">
        <v>12</v>
      </c>
      <c r="AB66" s="4">
        <v>11</v>
      </c>
      <c r="AC66" s="2">
        <f t="shared" si="36"/>
        <v>57</v>
      </c>
      <c r="AD66" s="2">
        <f t="shared" si="37"/>
        <v>11.4</v>
      </c>
      <c r="AH66" s="1" t="s">
        <v>1</v>
      </c>
      <c r="AI66" s="5">
        <v>6</v>
      </c>
      <c r="AJ66" s="5">
        <v>5</v>
      </c>
      <c r="AK66" s="5">
        <v>5</v>
      </c>
      <c r="AL66" s="5">
        <v>5</v>
      </c>
      <c r="AM66" s="5">
        <v>5</v>
      </c>
      <c r="AN66" s="5">
        <f t="shared" si="38"/>
        <v>26</v>
      </c>
      <c r="AO66" s="5">
        <f t="shared" si="39"/>
        <v>5.2</v>
      </c>
    </row>
    <row r="67" spans="1:41" x14ac:dyDescent="0.35">
      <c r="A67" s="25"/>
      <c r="B67" s="25"/>
      <c r="C67" s="25"/>
      <c r="D67" s="25"/>
      <c r="E67" s="25"/>
      <c r="F67" s="25"/>
      <c r="G67" s="25"/>
      <c r="H67" s="25"/>
    </row>
    <row r="68" spans="1:41" x14ac:dyDescent="0.35">
      <c r="A68" s="26" t="s">
        <v>0</v>
      </c>
      <c r="B68" s="27" t="s">
        <v>20</v>
      </c>
      <c r="C68" s="27"/>
      <c r="D68" s="27"/>
      <c r="E68" s="27"/>
      <c r="F68" s="27"/>
      <c r="G68" s="26" t="s">
        <v>12</v>
      </c>
      <c r="H68" s="26" t="s">
        <v>13</v>
      </c>
      <c r="L68" s="26" t="s">
        <v>0</v>
      </c>
      <c r="M68" s="27" t="s">
        <v>20</v>
      </c>
      <c r="N68" s="27"/>
      <c r="O68" s="27"/>
      <c r="P68" s="27"/>
      <c r="Q68" s="27"/>
      <c r="R68" s="26" t="s">
        <v>12</v>
      </c>
      <c r="S68" s="26" t="s">
        <v>13</v>
      </c>
      <c r="W68" s="26" t="s">
        <v>0</v>
      </c>
      <c r="X68" s="27" t="s">
        <v>20</v>
      </c>
      <c r="Y68" s="27"/>
      <c r="Z68" s="27"/>
      <c r="AA68" s="27"/>
      <c r="AB68" s="27"/>
      <c r="AC68" s="26" t="s">
        <v>12</v>
      </c>
      <c r="AD68" s="26" t="s">
        <v>13</v>
      </c>
      <c r="AH68" s="26" t="s">
        <v>0</v>
      </c>
      <c r="AI68" s="27" t="s">
        <v>20</v>
      </c>
      <c r="AJ68" s="27"/>
      <c r="AK68" s="27"/>
      <c r="AL68" s="27"/>
      <c r="AM68" s="27"/>
      <c r="AN68" s="26" t="s">
        <v>12</v>
      </c>
      <c r="AO68" s="26" t="s">
        <v>13</v>
      </c>
    </row>
    <row r="69" spans="1:41" x14ac:dyDescent="0.35">
      <c r="A69" s="26"/>
      <c r="B69" s="27" t="s">
        <v>11</v>
      </c>
      <c r="C69" s="27"/>
      <c r="D69" s="27"/>
      <c r="E69" s="27"/>
      <c r="F69" s="27"/>
      <c r="G69" s="26"/>
      <c r="H69" s="26"/>
      <c r="L69" s="26"/>
      <c r="M69" s="27" t="s">
        <v>11</v>
      </c>
      <c r="N69" s="27"/>
      <c r="O69" s="27"/>
      <c r="P69" s="27"/>
      <c r="Q69" s="27"/>
      <c r="R69" s="26"/>
      <c r="S69" s="26"/>
      <c r="W69" s="26"/>
      <c r="X69" s="27" t="s">
        <v>11</v>
      </c>
      <c r="Y69" s="27"/>
      <c r="Z69" s="27"/>
      <c r="AA69" s="27"/>
      <c r="AB69" s="27"/>
      <c r="AC69" s="26"/>
      <c r="AD69" s="26"/>
      <c r="AH69" s="26"/>
      <c r="AI69" s="27" t="s">
        <v>11</v>
      </c>
      <c r="AJ69" s="27"/>
      <c r="AK69" s="27"/>
      <c r="AL69" s="27"/>
      <c r="AM69" s="27"/>
      <c r="AN69" s="26"/>
      <c r="AO69" s="26"/>
    </row>
    <row r="70" spans="1:41" x14ac:dyDescent="0.35">
      <c r="A70" s="26"/>
      <c r="B70" s="3">
        <v>1</v>
      </c>
      <c r="C70" s="3">
        <v>2</v>
      </c>
      <c r="D70" s="3">
        <v>3</v>
      </c>
      <c r="E70" s="3">
        <v>4</v>
      </c>
      <c r="F70" s="3">
        <v>5</v>
      </c>
      <c r="G70" s="26"/>
      <c r="H70" s="26"/>
      <c r="L70" s="26"/>
      <c r="M70" s="3">
        <v>1</v>
      </c>
      <c r="N70" s="3">
        <v>2</v>
      </c>
      <c r="O70" s="3">
        <v>3</v>
      </c>
      <c r="P70" s="3">
        <v>4</v>
      </c>
      <c r="Q70" s="3">
        <v>5</v>
      </c>
      <c r="R70" s="26"/>
      <c r="S70" s="26"/>
      <c r="W70" s="26"/>
      <c r="X70" s="3">
        <v>1</v>
      </c>
      <c r="Y70" s="3">
        <v>2</v>
      </c>
      <c r="Z70" s="3">
        <v>3</v>
      </c>
      <c r="AA70" s="3">
        <v>4</v>
      </c>
      <c r="AB70" s="3">
        <v>5</v>
      </c>
      <c r="AC70" s="26"/>
      <c r="AD70" s="26"/>
      <c r="AH70" s="26"/>
      <c r="AI70" s="3">
        <v>1</v>
      </c>
      <c r="AJ70" s="3">
        <v>2</v>
      </c>
      <c r="AK70" s="3">
        <v>3</v>
      </c>
      <c r="AL70" s="3">
        <v>4</v>
      </c>
      <c r="AM70" s="3">
        <v>5</v>
      </c>
      <c r="AN70" s="26"/>
      <c r="AO70" s="26"/>
    </row>
    <row r="71" spans="1:41" x14ac:dyDescent="0.35">
      <c r="A71" s="1" t="s">
        <v>7</v>
      </c>
      <c r="B71" s="2">
        <v>8.1199999999999992</v>
      </c>
      <c r="C71" s="2">
        <v>10.74</v>
      </c>
      <c r="D71" s="2">
        <v>8.5500000000000007</v>
      </c>
      <c r="E71" s="4" t="s">
        <v>17</v>
      </c>
      <c r="F71" s="2">
        <v>11.21</v>
      </c>
      <c r="G71" s="2">
        <f>SUM(B71:F71)</f>
        <v>38.620000000000005</v>
      </c>
      <c r="H71" s="5">
        <f>AVERAGE(B71:F71)</f>
        <v>9.6550000000000011</v>
      </c>
      <c r="L71" s="1" t="s">
        <v>7</v>
      </c>
      <c r="M71" s="4">
        <v>7</v>
      </c>
      <c r="N71" s="4">
        <v>10.5</v>
      </c>
      <c r="O71" s="4">
        <v>16</v>
      </c>
      <c r="P71" s="4">
        <v>16.5</v>
      </c>
      <c r="Q71" s="4">
        <v>15</v>
      </c>
      <c r="R71" s="2">
        <f>SUM(M71:Q71)</f>
        <v>65</v>
      </c>
      <c r="S71" s="2">
        <f>AVERAGE(M71:Q71)</f>
        <v>13</v>
      </c>
      <c r="W71" s="1" t="s">
        <v>7</v>
      </c>
      <c r="X71" s="4">
        <v>11</v>
      </c>
      <c r="Y71" s="4">
        <v>11</v>
      </c>
      <c r="Z71" s="4">
        <v>11</v>
      </c>
      <c r="AA71" s="4">
        <v>11</v>
      </c>
      <c r="AB71" s="4">
        <v>12</v>
      </c>
      <c r="AC71" s="2">
        <f>SUM(X71:AB71)</f>
        <v>56</v>
      </c>
      <c r="AD71" s="2">
        <f>AVERAGE(X71:AB71)</f>
        <v>11.2</v>
      </c>
      <c r="AH71" s="1" t="s">
        <v>7</v>
      </c>
      <c r="AI71" s="5">
        <v>5</v>
      </c>
      <c r="AJ71" s="5">
        <v>5</v>
      </c>
      <c r="AK71" s="5">
        <v>5</v>
      </c>
      <c r="AL71" s="5">
        <v>5</v>
      </c>
      <c r="AM71" s="5">
        <v>5</v>
      </c>
      <c r="AN71" s="5">
        <f>SUM(AI71:AM71)</f>
        <v>25</v>
      </c>
      <c r="AO71" s="5">
        <f>AVERAGE(AI71:AM71)</f>
        <v>5</v>
      </c>
    </row>
    <row r="72" spans="1:41" x14ac:dyDescent="0.35">
      <c r="A72" s="1" t="s">
        <v>9</v>
      </c>
      <c r="B72" s="2">
        <v>11.5</v>
      </c>
      <c r="C72" s="2">
        <v>7.14</v>
      </c>
      <c r="D72" s="4">
        <v>7.22</v>
      </c>
      <c r="E72" s="2">
        <v>7.9</v>
      </c>
      <c r="F72" s="2">
        <v>12.5</v>
      </c>
      <c r="G72" s="2">
        <f t="shared" ref="G72:G79" si="40">SUM(B72:F72)</f>
        <v>46.26</v>
      </c>
      <c r="H72" s="5">
        <f t="shared" ref="H72:H79" si="41">AVERAGE(B72:F72)</f>
        <v>9.2519999999999989</v>
      </c>
      <c r="L72" s="1" t="s">
        <v>9</v>
      </c>
      <c r="M72" s="4">
        <v>14</v>
      </c>
      <c r="N72" s="4">
        <v>22</v>
      </c>
      <c r="O72" s="4">
        <v>15</v>
      </c>
      <c r="P72" s="4">
        <v>17</v>
      </c>
      <c r="Q72" s="4">
        <v>17.5</v>
      </c>
      <c r="R72" s="2">
        <f t="shared" ref="R72:R79" si="42">SUM(M72:Q72)</f>
        <v>85.5</v>
      </c>
      <c r="S72" s="2">
        <f t="shared" ref="S72:S79" si="43">AVERAGE(M72:Q72)</f>
        <v>17.100000000000001</v>
      </c>
      <c r="W72" s="1" t="s">
        <v>9</v>
      </c>
      <c r="X72" s="4">
        <v>14</v>
      </c>
      <c r="Y72" s="4">
        <v>13</v>
      </c>
      <c r="Z72" s="4">
        <v>10</v>
      </c>
      <c r="AA72" s="4">
        <v>12</v>
      </c>
      <c r="AB72" s="4">
        <v>10</v>
      </c>
      <c r="AC72" s="2">
        <f t="shared" ref="AC72:AC79" si="44">SUM(X72:AB72)</f>
        <v>59</v>
      </c>
      <c r="AD72" s="2">
        <f t="shared" ref="AD72:AD79" si="45">AVERAGE(X72:AB72)</f>
        <v>11.8</v>
      </c>
      <c r="AH72" s="1" t="s">
        <v>9</v>
      </c>
      <c r="AI72" s="5">
        <v>6</v>
      </c>
      <c r="AJ72" s="5">
        <v>7</v>
      </c>
      <c r="AK72" s="5">
        <v>6</v>
      </c>
      <c r="AL72" s="5">
        <v>7</v>
      </c>
      <c r="AM72" s="5">
        <v>7</v>
      </c>
      <c r="AN72" s="5">
        <f t="shared" ref="AN72:AN79" si="46">SUM(AI72:AM72)</f>
        <v>33</v>
      </c>
      <c r="AO72" s="5">
        <f t="shared" ref="AO72:AO79" si="47">AVERAGE(AI72:AM72)</f>
        <v>6.6</v>
      </c>
    </row>
    <row r="73" spans="1:41" x14ac:dyDescent="0.35">
      <c r="A73" s="1" t="s">
        <v>6</v>
      </c>
      <c r="B73" s="2">
        <v>9.8000000000000007</v>
      </c>
      <c r="C73" s="2">
        <v>9.7100000000000009</v>
      </c>
      <c r="D73" s="2">
        <v>9.7100000000000009</v>
      </c>
      <c r="E73" s="2">
        <v>9.68</v>
      </c>
      <c r="F73" s="2">
        <v>11.49</v>
      </c>
      <c r="G73" s="2">
        <f t="shared" si="40"/>
        <v>50.390000000000008</v>
      </c>
      <c r="H73" s="5">
        <f t="shared" si="41"/>
        <v>10.078000000000001</v>
      </c>
      <c r="L73" s="1" t="s">
        <v>6</v>
      </c>
      <c r="M73" s="4">
        <v>18</v>
      </c>
      <c r="N73" s="4">
        <v>14</v>
      </c>
      <c r="O73" s="4">
        <v>18</v>
      </c>
      <c r="P73" s="4">
        <v>17</v>
      </c>
      <c r="Q73" s="4">
        <v>15.5</v>
      </c>
      <c r="R73" s="2">
        <f t="shared" si="42"/>
        <v>82.5</v>
      </c>
      <c r="S73" s="2">
        <f t="shared" si="43"/>
        <v>16.5</v>
      </c>
      <c r="W73" s="1" t="s">
        <v>6</v>
      </c>
      <c r="X73" s="4">
        <v>12</v>
      </c>
      <c r="Y73" s="4">
        <v>12</v>
      </c>
      <c r="Z73" s="4">
        <v>12</v>
      </c>
      <c r="AA73" s="4">
        <v>11</v>
      </c>
      <c r="AB73" s="4">
        <v>10</v>
      </c>
      <c r="AC73" s="2">
        <f t="shared" si="44"/>
        <v>57</v>
      </c>
      <c r="AD73" s="2">
        <f t="shared" si="45"/>
        <v>11.4</v>
      </c>
      <c r="AH73" s="1" t="s">
        <v>6</v>
      </c>
      <c r="AI73" s="5">
        <v>7</v>
      </c>
      <c r="AJ73" s="5">
        <v>6</v>
      </c>
      <c r="AK73" s="5">
        <v>5</v>
      </c>
      <c r="AL73" s="5">
        <v>5</v>
      </c>
      <c r="AM73" s="5">
        <v>5</v>
      </c>
      <c r="AN73" s="5">
        <f t="shared" si="46"/>
        <v>28</v>
      </c>
      <c r="AO73" s="5">
        <f t="shared" si="47"/>
        <v>5.6</v>
      </c>
    </row>
    <row r="74" spans="1:41" x14ac:dyDescent="0.35">
      <c r="A74" s="1" t="s">
        <v>5</v>
      </c>
      <c r="B74" s="4">
        <v>7.28</v>
      </c>
      <c r="C74" s="2">
        <v>12.82</v>
      </c>
      <c r="D74" s="2">
        <v>9.75</v>
      </c>
      <c r="E74" s="2">
        <v>8.17</v>
      </c>
      <c r="F74" s="2">
        <v>9.4499999999999993</v>
      </c>
      <c r="G74" s="2">
        <f t="shared" si="40"/>
        <v>47.47</v>
      </c>
      <c r="H74" s="5">
        <f t="shared" si="41"/>
        <v>9.4939999999999998</v>
      </c>
      <c r="L74" s="1" t="s">
        <v>5</v>
      </c>
      <c r="M74" s="4">
        <v>16.5</v>
      </c>
      <c r="N74" s="4">
        <v>19</v>
      </c>
      <c r="O74" s="4">
        <v>17.399999999999999</v>
      </c>
      <c r="P74" s="4">
        <v>19</v>
      </c>
      <c r="Q74" s="4">
        <v>14.8</v>
      </c>
      <c r="R74" s="2">
        <f t="shared" si="42"/>
        <v>86.7</v>
      </c>
      <c r="S74" s="5">
        <f t="shared" si="43"/>
        <v>17.34</v>
      </c>
      <c r="W74" s="1" t="s">
        <v>5</v>
      </c>
      <c r="X74" s="4">
        <v>12</v>
      </c>
      <c r="Y74" s="4">
        <v>14</v>
      </c>
      <c r="Z74" s="4">
        <v>11</v>
      </c>
      <c r="AA74" s="4">
        <v>12</v>
      </c>
      <c r="AB74" s="4">
        <v>12</v>
      </c>
      <c r="AC74" s="2">
        <f t="shared" si="44"/>
        <v>61</v>
      </c>
      <c r="AD74" s="5">
        <f t="shared" si="45"/>
        <v>12.2</v>
      </c>
      <c r="AH74" s="1" t="s">
        <v>5</v>
      </c>
      <c r="AI74" s="5">
        <v>6</v>
      </c>
      <c r="AJ74" s="5">
        <v>7</v>
      </c>
      <c r="AK74" s="5">
        <v>6</v>
      </c>
      <c r="AL74" s="5">
        <v>7</v>
      </c>
      <c r="AM74" s="5">
        <v>6</v>
      </c>
      <c r="AN74" s="5">
        <f t="shared" si="46"/>
        <v>32</v>
      </c>
      <c r="AO74" s="5">
        <f t="shared" si="47"/>
        <v>6.4</v>
      </c>
    </row>
    <row r="75" spans="1:41" x14ac:dyDescent="0.35">
      <c r="A75" s="1" t="s">
        <v>8</v>
      </c>
      <c r="B75" s="2">
        <v>8.7799999999999994</v>
      </c>
      <c r="C75" s="2">
        <v>7.71</v>
      </c>
      <c r="D75" s="2">
        <v>7.6</v>
      </c>
      <c r="E75" s="4">
        <v>9.91</v>
      </c>
      <c r="F75" s="2">
        <v>10.43</v>
      </c>
      <c r="G75" s="2">
        <f t="shared" si="40"/>
        <v>44.43</v>
      </c>
      <c r="H75" s="5">
        <f t="shared" si="41"/>
        <v>8.8859999999999992</v>
      </c>
      <c r="L75" s="1" t="s">
        <v>8</v>
      </c>
      <c r="M75" s="4">
        <v>15</v>
      </c>
      <c r="N75" s="4">
        <v>15.5</v>
      </c>
      <c r="O75" s="4">
        <v>16</v>
      </c>
      <c r="P75" s="4">
        <v>18</v>
      </c>
      <c r="Q75" s="4">
        <v>17</v>
      </c>
      <c r="R75" s="2">
        <f t="shared" si="42"/>
        <v>81.5</v>
      </c>
      <c r="S75" s="2">
        <f t="shared" si="43"/>
        <v>16.3</v>
      </c>
      <c r="W75" s="1" t="s">
        <v>8</v>
      </c>
      <c r="X75" s="4">
        <v>11</v>
      </c>
      <c r="Y75" s="4">
        <v>12</v>
      </c>
      <c r="Z75" s="4">
        <v>11</v>
      </c>
      <c r="AA75" s="4">
        <v>12</v>
      </c>
      <c r="AB75" s="4">
        <v>11</v>
      </c>
      <c r="AC75" s="2">
        <f t="shared" si="44"/>
        <v>57</v>
      </c>
      <c r="AD75" s="2">
        <f t="shared" si="45"/>
        <v>11.4</v>
      </c>
      <c r="AH75" s="1" t="s">
        <v>8</v>
      </c>
      <c r="AI75" s="5">
        <v>4</v>
      </c>
      <c r="AJ75" s="5">
        <v>6</v>
      </c>
      <c r="AK75" s="5">
        <v>5</v>
      </c>
      <c r="AL75" s="5">
        <v>5</v>
      </c>
      <c r="AM75" s="5">
        <v>4</v>
      </c>
      <c r="AN75" s="5">
        <f t="shared" si="46"/>
        <v>24</v>
      </c>
      <c r="AO75" s="5">
        <f t="shared" si="47"/>
        <v>4.8</v>
      </c>
    </row>
    <row r="76" spans="1:41" x14ac:dyDescent="0.35">
      <c r="A76" s="1" t="s">
        <v>2</v>
      </c>
      <c r="B76" s="2">
        <v>9.36</v>
      </c>
      <c r="C76" s="2">
        <v>9.3800000000000008</v>
      </c>
      <c r="D76" s="2">
        <v>7.82</v>
      </c>
      <c r="E76" s="2">
        <v>11.4</v>
      </c>
      <c r="F76" s="2">
        <v>7.11</v>
      </c>
      <c r="G76" s="2">
        <f t="shared" si="40"/>
        <v>45.07</v>
      </c>
      <c r="H76" s="5">
        <f t="shared" si="41"/>
        <v>9.0139999999999993</v>
      </c>
      <c r="L76" s="1" t="s">
        <v>2</v>
      </c>
      <c r="M76" s="4">
        <v>17</v>
      </c>
      <c r="N76" s="4">
        <v>22</v>
      </c>
      <c r="O76" s="4">
        <v>14</v>
      </c>
      <c r="P76" s="4">
        <v>18.5</v>
      </c>
      <c r="Q76" s="4">
        <v>19.8</v>
      </c>
      <c r="R76" s="2">
        <f t="shared" si="42"/>
        <v>91.3</v>
      </c>
      <c r="S76" s="5">
        <f t="shared" si="43"/>
        <v>18.259999999999998</v>
      </c>
      <c r="W76" s="1" t="s">
        <v>2</v>
      </c>
      <c r="X76" s="4">
        <v>12</v>
      </c>
      <c r="Y76" s="4">
        <v>12</v>
      </c>
      <c r="Z76" s="4">
        <v>10</v>
      </c>
      <c r="AA76" s="4">
        <v>11</v>
      </c>
      <c r="AB76" s="4">
        <v>12</v>
      </c>
      <c r="AC76" s="2">
        <f t="shared" si="44"/>
        <v>57</v>
      </c>
      <c r="AD76" s="5">
        <f t="shared" si="45"/>
        <v>11.4</v>
      </c>
      <c r="AH76" s="1" t="s">
        <v>2</v>
      </c>
      <c r="AI76" s="5">
        <v>7</v>
      </c>
      <c r="AJ76" s="5">
        <v>5</v>
      </c>
      <c r="AK76" s="5">
        <v>5</v>
      </c>
      <c r="AL76" s="5">
        <v>6</v>
      </c>
      <c r="AM76" s="5">
        <v>5</v>
      </c>
      <c r="AN76" s="5">
        <f t="shared" si="46"/>
        <v>28</v>
      </c>
      <c r="AO76" s="5">
        <f t="shared" si="47"/>
        <v>5.6</v>
      </c>
    </row>
    <row r="77" spans="1:41" x14ac:dyDescent="0.35">
      <c r="A77" s="1" t="s">
        <v>3</v>
      </c>
      <c r="B77" s="2">
        <v>8.5</v>
      </c>
      <c r="C77" s="2">
        <v>9.11</v>
      </c>
      <c r="D77" s="2">
        <v>12.21</v>
      </c>
      <c r="E77" s="2">
        <v>13.96</v>
      </c>
      <c r="F77" s="4">
        <v>13.5</v>
      </c>
      <c r="G77" s="2">
        <f t="shared" si="40"/>
        <v>57.28</v>
      </c>
      <c r="H77" s="5">
        <f t="shared" si="41"/>
        <v>11.456</v>
      </c>
      <c r="L77" s="1" t="s">
        <v>3</v>
      </c>
      <c r="M77" s="4">
        <v>15.5</v>
      </c>
      <c r="N77" s="4">
        <v>16</v>
      </c>
      <c r="O77" s="4">
        <v>17.3</v>
      </c>
      <c r="P77" s="4">
        <v>16.8</v>
      </c>
      <c r="Q77" s="4">
        <v>18</v>
      </c>
      <c r="R77" s="2">
        <f t="shared" si="42"/>
        <v>83.6</v>
      </c>
      <c r="S77" s="5">
        <f t="shared" si="43"/>
        <v>16.72</v>
      </c>
      <c r="W77" s="1" t="s">
        <v>3</v>
      </c>
      <c r="X77" s="4">
        <v>9</v>
      </c>
      <c r="Y77" s="4">
        <v>11</v>
      </c>
      <c r="Z77" s="4">
        <v>11</v>
      </c>
      <c r="AA77" s="4">
        <v>11</v>
      </c>
      <c r="AB77" s="4">
        <v>11</v>
      </c>
      <c r="AC77" s="2">
        <f t="shared" si="44"/>
        <v>53</v>
      </c>
      <c r="AD77" s="5">
        <f t="shared" si="45"/>
        <v>10.6</v>
      </c>
      <c r="AH77" s="1" t="s">
        <v>3</v>
      </c>
      <c r="AI77" s="5">
        <v>6</v>
      </c>
      <c r="AJ77" s="5">
        <v>4</v>
      </c>
      <c r="AK77" s="5">
        <v>5</v>
      </c>
      <c r="AL77" s="5">
        <v>6</v>
      </c>
      <c r="AM77" s="5">
        <v>5</v>
      </c>
      <c r="AN77" s="5">
        <f t="shared" si="46"/>
        <v>26</v>
      </c>
      <c r="AO77" s="5">
        <f t="shared" si="47"/>
        <v>5.2</v>
      </c>
    </row>
    <row r="78" spans="1:41" x14ac:dyDescent="0.35">
      <c r="A78" s="1" t="s">
        <v>5</v>
      </c>
      <c r="B78" s="2">
        <v>7.85</v>
      </c>
      <c r="C78" s="2">
        <v>10.39</v>
      </c>
      <c r="D78" s="2">
        <v>10.01</v>
      </c>
      <c r="E78" s="2">
        <v>11.4</v>
      </c>
      <c r="F78" s="2">
        <v>10.18</v>
      </c>
      <c r="G78" s="2">
        <f t="shared" si="40"/>
        <v>49.83</v>
      </c>
      <c r="H78" s="5">
        <f t="shared" si="41"/>
        <v>9.9659999999999993</v>
      </c>
      <c r="L78" s="1" t="s">
        <v>5</v>
      </c>
      <c r="M78" s="4">
        <v>12.8</v>
      </c>
      <c r="N78" s="4">
        <v>11.8</v>
      </c>
      <c r="O78" s="4">
        <v>9.5</v>
      </c>
      <c r="P78" s="4">
        <v>11.6</v>
      </c>
      <c r="Q78" s="4">
        <v>18.5</v>
      </c>
      <c r="R78" s="2">
        <f t="shared" si="42"/>
        <v>64.2</v>
      </c>
      <c r="S78" s="5">
        <f t="shared" si="43"/>
        <v>12.84</v>
      </c>
      <c r="W78" s="1" t="s">
        <v>5</v>
      </c>
      <c r="X78" s="4">
        <v>14</v>
      </c>
      <c r="Y78" s="4">
        <v>13</v>
      </c>
      <c r="Z78" s="4">
        <v>14</v>
      </c>
      <c r="AA78" s="4">
        <v>12</v>
      </c>
      <c r="AB78" s="4">
        <v>10</v>
      </c>
      <c r="AC78" s="2">
        <f t="shared" si="44"/>
        <v>63</v>
      </c>
      <c r="AD78" s="5">
        <f t="shared" si="45"/>
        <v>12.6</v>
      </c>
      <c r="AH78" s="1" t="s">
        <v>5</v>
      </c>
      <c r="AI78" s="5">
        <v>6</v>
      </c>
      <c r="AJ78" s="5">
        <v>6</v>
      </c>
      <c r="AK78" s="5">
        <v>7</v>
      </c>
      <c r="AL78" s="5">
        <v>7</v>
      </c>
      <c r="AM78" s="5">
        <v>6</v>
      </c>
      <c r="AN78" s="5">
        <f t="shared" si="46"/>
        <v>32</v>
      </c>
      <c r="AO78" s="5">
        <f t="shared" si="47"/>
        <v>6.4</v>
      </c>
    </row>
    <row r="79" spans="1:41" x14ac:dyDescent="0.35">
      <c r="A79" s="1" t="s">
        <v>1</v>
      </c>
      <c r="B79" s="2">
        <v>10.4</v>
      </c>
      <c r="C79" s="2">
        <v>8.1</v>
      </c>
      <c r="D79" s="2">
        <v>8.76</v>
      </c>
      <c r="E79" s="2">
        <v>10.16</v>
      </c>
      <c r="F79" s="2">
        <v>11.16</v>
      </c>
      <c r="G79" s="2">
        <f t="shared" si="40"/>
        <v>48.58</v>
      </c>
      <c r="H79" s="5">
        <f t="shared" si="41"/>
        <v>9.7159999999999993</v>
      </c>
      <c r="L79" s="1" t="s">
        <v>1</v>
      </c>
      <c r="M79" s="4">
        <v>18.2</v>
      </c>
      <c r="N79" s="4">
        <v>17.5</v>
      </c>
      <c r="O79" s="4">
        <v>14</v>
      </c>
      <c r="P79" s="4">
        <v>19.5</v>
      </c>
      <c r="Q79" s="4">
        <v>19.8</v>
      </c>
      <c r="R79" s="2">
        <f t="shared" si="42"/>
        <v>89</v>
      </c>
      <c r="S79" s="5">
        <f t="shared" si="43"/>
        <v>17.8</v>
      </c>
      <c r="W79" s="1" t="s">
        <v>1</v>
      </c>
      <c r="X79" s="4">
        <v>11</v>
      </c>
      <c r="Y79" s="4">
        <v>12</v>
      </c>
      <c r="Z79" s="4">
        <v>11</v>
      </c>
      <c r="AA79" s="4">
        <v>11</v>
      </c>
      <c r="AB79" s="4">
        <v>12</v>
      </c>
      <c r="AC79" s="2">
        <f t="shared" si="44"/>
        <v>57</v>
      </c>
      <c r="AD79" s="5">
        <f t="shared" si="45"/>
        <v>11.4</v>
      </c>
      <c r="AH79" s="1" t="s">
        <v>1</v>
      </c>
      <c r="AI79" s="5">
        <v>5</v>
      </c>
      <c r="AJ79" s="5">
        <v>6</v>
      </c>
      <c r="AK79" s="5">
        <v>5</v>
      </c>
      <c r="AL79" s="5">
        <v>5</v>
      </c>
      <c r="AM79" s="5">
        <v>5</v>
      </c>
      <c r="AN79" s="5">
        <f t="shared" si="46"/>
        <v>26</v>
      </c>
      <c r="AO79" s="5">
        <f t="shared" si="47"/>
        <v>5.2</v>
      </c>
    </row>
    <row r="80" spans="1:41" x14ac:dyDescent="0.35">
      <c r="B80" s="6"/>
    </row>
    <row r="81" spans="1:30" x14ac:dyDescent="0.35">
      <c r="A81" s="28" t="s">
        <v>18</v>
      </c>
      <c r="B81" s="28"/>
      <c r="C81" s="28"/>
      <c r="D81" s="28"/>
      <c r="E81" s="28"/>
      <c r="F81" s="28"/>
      <c r="G81" s="28"/>
      <c r="H81" s="28"/>
      <c r="L81" s="30" t="s">
        <v>22</v>
      </c>
      <c r="M81" s="30"/>
      <c r="N81" s="30"/>
      <c r="O81" s="30"/>
      <c r="P81" s="30"/>
      <c r="Q81" s="30"/>
      <c r="R81" s="30"/>
      <c r="S81" s="30"/>
      <c r="W81" s="31" t="s">
        <v>24</v>
      </c>
      <c r="X81" s="31"/>
      <c r="Y81" s="31"/>
      <c r="Z81" s="31"/>
      <c r="AA81" s="31"/>
      <c r="AB81" s="31"/>
      <c r="AC81" s="31"/>
      <c r="AD81" s="31"/>
    </row>
    <row r="82" spans="1:30" x14ac:dyDescent="0.35">
      <c r="A82" s="26" t="s">
        <v>0</v>
      </c>
      <c r="B82" s="27" t="s">
        <v>10</v>
      </c>
      <c r="C82" s="27"/>
      <c r="D82" s="27"/>
      <c r="E82" s="27"/>
      <c r="F82" s="27"/>
      <c r="G82" s="26" t="s">
        <v>12</v>
      </c>
      <c r="H82" s="26" t="s">
        <v>13</v>
      </c>
      <c r="L82" s="26" t="s">
        <v>0</v>
      </c>
      <c r="M82" s="27" t="s">
        <v>10</v>
      </c>
      <c r="N82" s="27"/>
      <c r="O82" s="27"/>
      <c r="P82" s="27"/>
      <c r="Q82" s="27"/>
      <c r="R82" s="26" t="s">
        <v>12</v>
      </c>
      <c r="S82" s="26" t="s">
        <v>13</v>
      </c>
      <c r="W82" s="26" t="s">
        <v>0</v>
      </c>
      <c r="X82" s="27" t="s">
        <v>10</v>
      </c>
      <c r="Y82" s="27"/>
      <c r="Z82" s="27"/>
      <c r="AA82" s="27"/>
      <c r="AB82" s="27"/>
      <c r="AC82" s="26" t="s">
        <v>12</v>
      </c>
      <c r="AD82" s="26" t="s">
        <v>13</v>
      </c>
    </row>
    <row r="83" spans="1:30" x14ac:dyDescent="0.35">
      <c r="A83" s="26"/>
      <c r="B83" s="27" t="s">
        <v>11</v>
      </c>
      <c r="C83" s="27"/>
      <c r="D83" s="27"/>
      <c r="E83" s="27"/>
      <c r="F83" s="27"/>
      <c r="G83" s="26"/>
      <c r="H83" s="26"/>
      <c r="L83" s="26"/>
      <c r="M83" s="27" t="s">
        <v>11</v>
      </c>
      <c r="N83" s="27"/>
      <c r="O83" s="27"/>
      <c r="P83" s="27"/>
      <c r="Q83" s="27"/>
      <c r="R83" s="26"/>
      <c r="S83" s="26"/>
      <c r="W83" s="26"/>
      <c r="X83" s="27" t="s">
        <v>11</v>
      </c>
      <c r="Y83" s="27"/>
      <c r="Z83" s="27"/>
      <c r="AA83" s="27"/>
      <c r="AB83" s="27"/>
      <c r="AC83" s="26"/>
      <c r="AD83" s="26"/>
    </row>
    <row r="84" spans="1:30" x14ac:dyDescent="0.35">
      <c r="A84" s="26"/>
      <c r="B84" s="3">
        <v>1</v>
      </c>
      <c r="C84" s="3">
        <v>2</v>
      </c>
      <c r="D84" s="3">
        <v>3</v>
      </c>
      <c r="E84" s="3">
        <v>4</v>
      </c>
      <c r="F84" s="3">
        <v>5</v>
      </c>
      <c r="G84" s="26"/>
      <c r="H84" s="26"/>
      <c r="L84" s="26"/>
      <c r="M84" s="3">
        <v>1</v>
      </c>
      <c r="N84" s="3">
        <v>2</v>
      </c>
      <c r="O84" s="3">
        <v>3</v>
      </c>
      <c r="P84" s="3">
        <v>4</v>
      </c>
      <c r="Q84" s="3">
        <v>5</v>
      </c>
      <c r="R84" s="26"/>
      <c r="S84" s="26"/>
      <c r="W84" s="26"/>
      <c r="X84" s="3">
        <v>1</v>
      </c>
      <c r="Y84" s="3">
        <v>2</v>
      </c>
      <c r="Z84" s="3">
        <v>3</v>
      </c>
      <c r="AA84" s="3">
        <v>4</v>
      </c>
      <c r="AB84" s="3">
        <v>5</v>
      </c>
      <c r="AC84" s="26"/>
      <c r="AD84" s="26"/>
    </row>
    <row r="85" spans="1:30" x14ac:dyDescent="0.35">
      <c r="A85" s="1" t="s">
        <v>1</v>
      </c>
      <c r="B85" s="2">
        <v>18.100000000000001</v>
      </c>
      <c r="C85" s="2">
        <v>10.3</v>
      </c>
      <c r="D85" s="2">
        <v>13.3</v>
      </c>
      <c r="E85" s="4">
        <v>15.3</v>
      </c>
      <c r="F85" s="2">
        <v>13.1</v>
      </c>
      <c r="G85" s="2">
        <f>SUM(B85:F85)</f>
        <v>70.099999999999994</v>
      </c>
      <c r="H85" s="2">
        <f>AVERAGE(B85:F85)</f>
        <v>14.02</v>
      </c>
      <c r="L85" s="1" t="s">
        <v>1</v>
      </c>
      <c r="M85" s="4">
        <v>61</v>
      </c>
      <c r="N85" s="4">
        <v>60</v>
      </c>
      <c r="O85" s="4">
        <v>49</v>
      </c>
      <c r="P85" s="4">
        <v>38</v>
      </c>
      <c r="Q85" s="4">
        <v>39</v>
      </c>
      <c r="R85" s="2">
        <f>SUM(M85:Q85)</f>
        <v>247</v>
      </c>
      <c r="S85" s="2">
        <f>AVERAGE(M85:Q85)</f>
        <v>49.4</v>
      </c>
      <c r="W85" s="1" t="s">
        <v>1</v>
      </c>
      <c r="X85" s="4">
        <v>20</v>
      </c>
      <c r="Y85" s="4">
        <v>26</v>
      </c>
      <c r="Z85" s="4">
        <v>22</v>
      </c>
      <c r="AA85" s="4">
        <v>21</v>
      </c>
      <c r="AB85" s="4">
        <v>23</v>
      </c>
      <c r="AC85" s="2">
        <f>SUM(X85:AB85)</f>
        <v>112</v>
      </c>
      <c r="AD85" s="2">
        <f>AVERAGE(X85:AB85)</f>
        <v>22.4</v>
      </c>
    </row>
    <row r="86" spans="1:30" x14ac:dyDescent="0.35">
      <c r="A86" s="1" t="s">
        <v>2</v>
      </c>
      <c r="B86" s="2">
        <v>13.6</v>
      </c>
      <c r="C86" s="2">
        <v>20.100000000000001</v>
      </c>
      <c r="D86" s="2">
        <v>12.9</v>
      </c>
      <c r="E86" s="2">
        <v>15.3</v>
      </c>
      <c r="F86" s="2">
        <v>13.5</v>
      </c>
      <c r="G86" s="2">
        <f t="shared" ref="G86:G93" si="48">SUM(B86:F86)</f>
        <v>75.400000000000006</v>
      </c>
      <c r="H86" s="2">
        <f t="shared" ref="H86:H88" si="49">AVERAGE(B86:F86)</f>
        <v>15.080000000000002</v>
      </c>
      <c r="L86" s="1" t="s">
        <v>2</v>
      </c>
      <c r="M86" s="4">
        <v>53</v>
      </c>
      <c r="N86" s="4">
        <v>35</v>
      </c>
      <c r="O86" s="4">
        <v>39.5</v>
      </c>
      <c r="P86" s="4">
        <v>41</v>
      </c>
      <c r="Q86" s="4">
        <v>52</v>
      </c>
      <c r="R86" s="2">
        <f t="shared" ref="R86:R93" si="50">SUM(M86:Q86)</f>
        <v>220.5</v>
      </c>
      <c r="S86" s="2">
        <f t="shared" ref="S86:S93" si="51">AVERAGE(M86:Q86)</f>
        <v>44.1</v>
      </c>
      <c r="W86" s="1" t="s">
        <v>2</v>
      </c>
      <c r="X86" s="4">
        <v>18</v>
      </c>
      <c r="Y86" s="4">
        <v>18</v>
      </c>
      <c r="Z86" s="4">
        <v>19</v>
      </c>
      <c r="AA86" s="4">
        <v>19</v>
      </c>
      <c r="AB86" s="4">
        <v>21</v>
      </c>
      <c r="AC86" s="2">
        <f t="shared" ref="AC86:AC93" si="52">SUM(X86:AB86)</f>
        <v>95</v>
      </c>
      <c r="AD86" s="2">
        <f t="shared" ref="AD86:AD93" si="53">AVERAGE(X86:AB86)</f>
        <v>19</v>
      </c>
    </row>
    <row r="87" spans="1:30" x14ac:dyDescent="0.35">
      <c r="A87" s="1" t="s">
        <v>3</v>
      </c>
      <c r="B87" s="4">
        <v>12</v>
      </c>
      <c r="C87" s="2">
        <v>10.7</v>
      </c>
      <c r="D87" s="2">
        <v>16.5</v>
      </c>
      <c r="E87" s="2">
        <v>13.3</v>
      </c>
      <c r="F87" s="2">
        <v>12</v>
      </c>
      <c r="G87" s="2">
        <f t="shared" si="48"/>
        <v>64.5</v>
      </c>
      <c r="H87" s="2">
        <f t="shared" si="49"/>
        <v>12.9</v>
      </c>
      <c r="L87" s="1" t="s">
        <v>3</v>
      </c>
      <c r="M87" s="4">
        <v>38</v>
      </c>
      <c r="N87" s="4">
        <v>69</v>
      </c>
      <c r="O87" s="4">
        <v>30</v>
      </c>
      <c r="P87" s="4">
        <v>43</v>
      </c>
      <c r="Q87" s="4">
        <v>30.5</v>
      </c>
      <c r="R87" s="2">
        <f t="shared" si="50"/>
        <v>210.5</v>
      </c>
      <c r="S87" s="2">
        <f t="shared" si="51"/>
        <v>42.1</v>
      </c>
      <c r="W87" s="1" t="s">
        <v>3</v>
      </c>
      <c r="X87" s="4">
        <v>18</v>
      </c>
      <c r="Y87" s="4">
        <v>19</v>
      </c>
      <c r="Z87" s="4">
        <v>19</v>
      </c>
      <c r="AA87" s="4">
        <v>18</v>
      </c>
      <c r="AB87" s="4">
        <v>18</v>
      </c>
      <c r="AC87" s="2">
        <f t="shared" si="52"/>
        <v>92</v>
      </c>
      <c r="AD87" s="2">
        <f t="shared" si="53"/>
        <v>18.399999999999999</v>
      </c>
    </row>
    <row r="88" spans="1:30" x14ac:dyDescent="0.35">
      <c r="A88" s="1" t="s">
        <v>4</v>
      </c>
      <c r="B88" s="4">
        <v>12.8</v>
      </c>
      <c r="C88" s="2">
        <v>17.2</v>
      </c>
      <c r="D88" s="2">
        <v>14</v>
      </c>
      <c r="E88" s="2">
        <v>15.3</v>
      </c>
      <c r="F88" s="2">
        <v>14.3</v>
      </c>
      <c r="G88" s="4">
        <f t="shared" si="48"/>
        <v>73.599999999999994</v>
      </c>
      <c r="H88" s="5">
        <f t="shared" si="49"/>
        <v>14.719999999999999</v>
      </c>
      <c r="L88" s="1" t="s">
        <v>4</v>
      </c>
      <c r="M88" s="4">
        <v>53</v>
      </c>
      <c r="N88" s="4">
        <v>55</v>
      </c>
      <c r="O88" s="4">
        <v>39.5</v>
      </c>
      <c r="P88" s="4">
        <v>31</v>
      </c>
      <c r="Q88" s="4">
        <v>42</v>
      </c>
      <c r="R88" s="4">
        <f t="shared" si="50"/>
        <v>220.5</v>
      </c>
      <c r="S88" s="5">
        <f t="shared" si="51"/>
        <v>44.1</v>
      </c>
      <c r="W88" s="1" t="s">
        <v>4</v>
      </c>
      <c r="X88" s="4">
        <v>19</v>
      </c>
      <c r="Y88" s="4">
        <v>20</v>
      </c>
      <c r="Z88" s="4">
        <v>19</v>
      </c>
      <c r="AA88" s="4">
        <v>19</v>
      </c>
      <c r="AB88" s="4">
        <v>20</v>
      </c>
      <c r="AC88" s="4">
        <f t="shared" si="52"/>
        <v>97</v>
      </c>
      <c r="AD88" s="5">
        <f t="shared" si="53"/>
        <v>19.399999999999999</v>
      </c>
    </row>
    <row r="89" spans="1:30" x14ac:dyDescent="0.35">
      <c r="A89" s="1" t="s">
        <v>5</v>
      </c>
      <c r="B89" s="2">
        <v>12.7</v>
      </c>
      <c r="C89" s="2">
        <v>13.5</v>
      </c>
      <c r="D89" s="2">
        <v>15.8</v>
      </c>
      <c r="E89" s="4">
        <v>14.7</v>
      </c>
      <c r="F89" s="2">
        <v>13.9</v>
      </c>
      <c r="G89" s="4">
        <f t="shared" si="48"/>
        <v>70.600000000000009</v>
      </c>
      <c r="H89" s="5">
        <f>AVERAGE(B89:F89)</f>
        <v>14.120000000000001</v>
      </c>
      <c r="L89" s="1" t="s">
        <v>5</v>
      </c>
      <c r="M89" s="4">
        <v>32.5</v>
      </c>
      <c r="N89" s="4">
        <v>33</v>
      </c>
      <c r="O89" s="4">
        <v>46</v>
      </c>
      <c r="P89" s="4">
        <v>34</v>
      </c>
      <c r="Q89" s="4">
        <v>43</v>
      </c>
      <c r="R89" s="2">
        <f t="shared" si="50"/>
        <v>188.5</v>
      </c>
      <c r="S89" s="2">
        <f t="shared" si="51"/>
        <v>37.700000000000003</v>
      </c>
      <c r="W89" s="1" t="s">
        <v>5</v>
      </c>
      <c r="X89" s="4">
        <v>20</v>
      </c>
      <c r="Y89" s="4">
        <v>19</v>
      </c>
      <c r="Z89" s="4">
        <v>18</v>
      </c>
      <c r="AA89" s="4">
        <v>20</v>
      </c>
      <c r="AB89" s="4">
        <v>18</v>
      </c>
      <c r="AC89" s="2">
        <f t="shared" si="52"/>
        <v>95</v>
      </c>
      <c r="AD89" s="2">
        <f t="shared" si="53"/>
        <v>19</v>
      </c>
    </row>
    <row r="90" spans="1:30" x14ac:dyDescent="0.35">
      <c r="A90" s="1" t="s">
        <v>6</v>
      </c>
      <c r="B90" s="2">
        <v>17.399999999999999</v>
      </c>
      <c r="C90" s="2">
        <v>12.9</v>
      </c>
      <c r="D90" s="2">
        <v>12.1</v>
      </c>
      <c r="E90" s="2">
        <v>14</v>
      </c>
      <c r="F90" s="2">
        <v>21</v>
      </c>
      <c r="G90" s="2">
        <f t="shared" si="48"/>
        <v>77.400000000000006</v>
      </c>
      <c r="H90" s="2">
        <f t="shared" ref="H90:H93" si="54">AVERAGE(B90:F90)</f>
        <v>15.48</v>
      </c>
      <c r="L90" s="1" t="s">
        <v>6</v>
      </c>
      <c r="M90" s="4">
        <v>44</v>
      </c>
      <c r="N90" s="4">
        <v>53</v>
      </c>
      <c r="O90" s="4">
        <v>60</v>
      </c>
      <c r="P90" s="4">
        <v>36</v>
      </c>
      <c r="Q90" s="4">
        <v>41.5</v>
      </c>
      <c r="R90" s="2">
        <f t="shared" si="50"/>
        <v>234.5</v>
      </c>
      <c r="S90" s="2">
        <f t="shared" si="51"/>
        <v>46.9</v>
      </c>
      <c r="W90" s="1" t="s">
        <v>6</v>
      </c>
      <c r="X90" s="4">
        <v>19</v>
      </c>
      <c r="Y90" s="4">
        <v>15</v>
      </c>
      <c r="Z90" s="4">
        <v>17</v>
      </c>
      <c r="AA90" s="4">
        <v>20</v>
      </c>
      <c r="AB90" s="4">
        <v>19</v>
      </c>
      <c r="AC90" s="2">
        <f t="shared" si="52"/>
        <v>90</v>
      </c>
      <c r="AD90" s="2">
        <f t="shared" si="53"/>
        <v>18</v>
      </c>
    </row>
    <row r="91" spans="1:30" x14ac:dyDescent="0.35">
      <c r="A91" s="1" t="s">
        <v>7</v>
      </c>
      <c r="B91" s="2">
        <v>15.1</v>
      </c>
      <c r="C91" s="2">
        <v>13.7</v>
      </c>
      <c r="D91" s="2">
        <v>13.4</v>
      </c>
      <c r="E91" s="2">
        <v>14.2</v>
      </c>
      <c r="F91" s="4">
        <v>21.2</v>
      </c>
      <c r="G91" s="4">
        <f t="shared" si="48"/>
        <v>77.599999999999994</v>
      </c>
      <c r="H91" s="5">
        <f t="shared" si="54"/>
        <v>15.52</v>
      </c>
      <c r="L91" s="1" t="s">
        <v>7</v>
      </c>
      <c r="M91" s="4">
        <v>60</v>
      </c>
      <c r="N91" s="4">
        <v>61</v>
      </c>
      <c r="O91" s="4">
        <v>46</v>
      </c>
      <c r="P91" s="4">
        <v>39</v>
      </c>
      <c r="Q91" s="4">
        <v>67.5</v>
      </c>
      <c r="R91" s="4">
        <f t="shared" si="50"/>
        <v>273.5</v>
      </c>
      <c r="S91" s="5">
        <f t="shared" si="51"/>
        <v>54.7</v>
      </c>
      <c r="W91" s="1" t="s">
        <v>7</v>
      </c>
      <c r="X91" s="4">
        <v>20</v>
      </c>
      <c r="Y91" s="4">
        <v>19</v>
      </c>
      <c r="Z91" s="4">
        <v>18</v>
      </c>
      <c r="AA91" s="4">
        <v>17</v>
      </c>
      <c r="AB91" s="4">
        <v>19</v>
      </c>
      <c r="AC91" s="4">
        <f t="shared" si="52"/>
        <v>93</v>
      </c>
      <c r="AD91" s="5">
        <f t="shared" si="53"/>
        <v>18.600000000000001</v>
      </c>
    </row>
    <row r="92" spans="1:30" x14ac:dyDescent="0.35">
      <c r="A92" s="1" t="s">
        <v>8</v>
      </c>
      <c r="B92" s="2">
        <v>14</v>
      </c>
      <c r="C92" s="2">
        <v>13.4</v>
      </c>
      <c r="D92" s="2">
        <v>14</v>
      </c>
      <c r="E92" s="2">
        <v>14</v>
      </c>
      <c r="F92" s="2">
        <v>16.600000000000001</v>
      </c>
      <c r="G92" s="2">
        <f t="shared" si="48"/>
        <v>72</v>
      </c>
      <c r="H92" s="5">
        <f t="shared" si="54"/>
        <v>14.4</v>
      </c>
      <c r="L92" s="1" t="s">
        <v>8</v>
      </c>
      <c r="M92" s="4">
        <v>62</v>
      </c>
      <c r="N92" s="4">
        <v>62</v>
      </c>
      <c r="O92" s="4">
        <v>59</v>
      </c>
      <c r="P92" s="4">
        <v>50.5</v>
      </c>
      <c r="Q92" s="4">
        <v>34.5</v>
      </c>
      <c r="R92" s="2">
        <f t="shared" si="50"/>
        <v>268</v>
      </c>
      <c r="S92" s="5">
        <f t="shared" si="51"/>
        <v>53.6</v>
      </c>
      <c r="W92" s="1" t="s">
        <v>8</v>
      </c>
      <c r="X92" s="4">
        <v>20</v>
      </c>
      <c r="Y92" s="4">
        <v>17</v>
      </c>
      <c r="Z92" s="4">
        <v>19</v>
      </c>
      <c r="AA92" s="4">
        <v>18</v>
      </c>
      <c r="AB92" s="4">
        <v>17</v>
      </c>
      <c r="AC92" s="2">
        <f t="shared" si="52"/>
        <v>91</v>
      </c>
      <c r="AD92" s="5">
        <f t="shared" si="53"/>
        <v>18.2</v>
      </c>
    </row>
    <row r="93" spans="1:30" x14ac:dyDescent="0.35">
      <c r="A93" s="1" t="s">
        <v>9</v>
      </c>
      <c r="B93" s="2">
        <v>19.7</v>
      </c>
      <c r="C93" s="2">
        <v>23.9</v>
      </c>
      <c r="D93" s="2">
        <v>18.600000000000001</v>
      </c>
      <c r="E93" s="2">
        <v>22.1</v>
      </c>
      <c r="F93" s="2">
        <v>26</v>
      </c>
      <c r="G93" s="4">
        <f t="shared" si="48"/>
        <v>110.3</v>
      </c>
      <c r="H93" s="2">
        <f t="shared" si="54"/>
        <v>22.06</v>
      </c>
      <c r="I93">
        <f>SUM(H85:H93)</f>
        <v>138.30000000000001</v>
      </c>
      <c r="L93" s="1" t="s">
        <v>9</v>
      </c>
      <c r="M93" s="4">
        <v>38.5</v>
      </c>
      <c r="N93" s="4">
        <v>62</v>
      </c>
      <c r="O93" s="4">
        <v>40</v>
      </c>
      <c r="P93" s="4">
        <v>61</v>
      </c>
      <c r="Q93" s="4">
        <v>69.5</v>
      </c>
      <c r="R93" s="2">
        <f t="shared" si="50"/>
        <v>271</v>
      </c>
      <c r="S93" s="2">
        <f t="shared" si="51"/>
        <v>54.2</v>
      </c>
      <c r="W93" s="1" t="s">
        <v>9</v>
      </c>
      <c r="X93" s="4">
        <v>20</v>
      </c>
      <c r="Y93" s="4">
        <v>20</v>
      </c>
      <c r="Z93" s="4">
        <v>18</v>
      </c>
      <c r="AA93" s="4">
        <v>18</v>
      </c>
      <c r="AB93" s="4">
        <v>20</v>
      </c>
      <c r="AC93" s="2">
        <f t="shared" si="52"/>
        <v>96</v>
      </c>
      <c r="AD93" s="2">
        <f t="shared" si="53"/>
        <v>19.2</v>
      </c>
    </row>
    <row r="94" spans="1:30" x14ac:dyDescent="0.35">
      <c r="A94" s="29"/>
      <c r="B94" s="29"/>
      <c r="C94" s="29"/>
      <c r="D94" s="29"/>
      <c r="E94" s="29"/>
      <c r="F94" s="29"/>
      <c r="G94" s="29"/>
      <c r="H94" s="29"/>
    </row>
    <row r="95" spans="1:30" x14ac:dyDescent="0.35">
      <c r="A95" s="26" t="s">
        <v>0</v>
      </c>
      <c r="B95" s="27" t="s">
        <v>16</v>
      </c>
      <c r="C95" s="27"/>
      <c r="D95" s="27"/>
      <c r="E95" s="27"/>
      <c r="F95" s="27"/>
      <c r="G95" s="26" t="s">
        <v>12</v>
      </c>
      <c r="H95" s="26" t="s">
        <v>13</v>
      </c>
      <c r="L95" s="26" t="s">
        <v>0</v>
      </c>
      <c r="M95" s="27" t="s">
        <v>16</v>
      </c>
      <c r="N95" s="27"/>
      <c r="O95" s="27"/>
      <c r="P95" s="27"/>
      <c r="Q95" s="27"/>
      <c r="R95" s="26" t="s">
        <v>12</v>
      </c>
      <c r="S95" s="26" t="s">
        <v>13</v>
      </c>
      <c r="W95" s="26" t="s">
        <v>0</v>
      </c>
      <c r="X95" s="27" t="s">
        <v>16</v>
      </c>
      <c r="Y95" s="27"/>
      <c r="Z95" s="27"/>
      <c r="AA95" s="27"/>
      <c r="AB95" s="27"/>
      <c r="AC95" s="26" t="s">
        <v>12</v>
      </c>
      <c r="AD95" s="26" t="s">
        <v>13</v>
      </c>
    </row>
    <row r="96" spans="1:30" x14ac:dyDescent="0.35">
      <c r="A96" s="26"/>
      <c r="B96" s="27" t="s">
        <v>11</v>
      </c>
      <c r="C96" s="27"/>
      <c r="D96" s="27"/>
      <c r="E96" s="27"/>
      <c r="F96" s="27"/>
      <c r="G96" s="26"/>
      <c r="H96" s="26"/>
      <c r="L96" s="26"/>
      <c r="M96" s="27" t="s">
        <v>11</v>
      </c>
      <c r="N96" s="27"/>
      <c r="O96" s="27"/>
      <c r="P96" s="27"/>
      <c r="Q96" s="27"/>
      <c r="R96" s="26"/>
      <c r="S96" s="26"/>
      <c r="W96" s="26"/>
      <c r="X96" s="27" t="s">
        <v>11</v>
      </c>
      <c r="Y96" s="27"/>
      <c r="Z96" s="27"/>
      <c r="AA96" s="27"/>
      <c r="AB96" s="27"/>
      <c r="AC96" s="26"/>
      <c r="AD96" s="26"/>
    </row>
    <row r="97" spans="1:30" x14ac:dyDescent="0.35">
      <c r="A97" s="26"/>
      <c r="B97" s="3">
        <v>1</v>
      </c>
      <c r="C97" s="3">
        <v>2</v>
      </c>
      <c r="D97" s="3">
        <v>3</v>
      </c>
      <c r="E97" s="3">
        <v>4</v>
      </c>
      <c r="F97" s="3">
        <v>5</v>
      </c>
      <c r="G97" s="26"/>
      <c r="H97" s="26"/>
      <c r="L97" s="26"/>
      <c r="M97" s="3">
        <v>1</v>
      </c>
      <c r="N97" s="3">
        <v>2</v>
      </c>
      <c r="O97" s="3">
        <v>3</v>
      </c>
      <c r="P97" s="3">
        <v>4</v>
      </c>
      <c r="Q97" s="3">
        <v>5</v>
      </c>
      <c r="R97" s="26"/>
      <c r="S97" s="26"/>
      <c r="W97" s="26"/>
      <c r="X97" s="3">
        <v>1</v>
      </c>
      <c r="Y97" s="3">
        <v>2</v>
      </c>
      <c r="Z97" s="3">
        <v>3</v>
      </c>
      <c r="AA97" s="3">
        <v>4</v>
      </c>
      <c r="AB97" s="3">
        <v>5</v>
      </c>
      <c r="AC97" s="26"/>
      <c r="AD97" s="26"/>
    </row>
    <row r="98" spans="1:30" x14ac:dyDescent="0.35">
      <c r="A98" s="1" t="s">
        <v>6</v>
      </c>
      <c r="B98" s="2">
        <v>18.899999999999999</v>
      </c>
      <c r="C98" s="2">
        <v>15.9</v>
      </c>
      <c r="D98" s="2">
        <v>15.3</v>
      </c>
      <c r="E98" s="4">
        <v>14</v>
      </c>
      <c r="F98" s="2">
        <v>13.6</v>
      </c>
      <c r="G98" s="2">
        <f>SUM(B98:F98)</f>
        <v>77.699999999999989</v>
      </c>
      <c r="H98" s="2">
        <f>AVERAGE(B98:F98)</f>
        <v>15.539999999999997</v>
      </c>
      <c r="L98" s="1" t="s">
        <v>6</v>
      </c>
      <c r="M98" s="4">
        <v>35</v>
      </c>
      <c r="N98" s="4">
        <v>31.5</v>
      </c>
      <c r="O98" s="4">
        <v>40</v>
      </c>
      <c r="P98" s="4">
        <v>55.5</v>
      </c>
      <c r="Q98" s="4">
        <v>50.5</v>
      </c>
      <c r="R98" s="2">
        <f>SUM(M98:Q98)</f>
        <v>212.5</v>
      </c>
      <c r="S98" s="2">
        <f>AVERAGE(M98:Q98)</f>
        <v>42.5</v>
      </c>
      <c r="W98" s="1" t="s">
        <v>6</v>
      </c>
      <c r="X98" s="4">
        <v>17</v>
      </c>
      <c r="Y98" s="4">
        <v>18</v>
      </c>
      <c r="Z98" s="4">
        <v>17</v>
      </c>
      <c r="AA98" s="4">
        <v>18</v>
      </c>
      <c r="AB98" s="4">
        <v>15</v>
      </c>
      <c r="AC98" s="2">
        <f>SUM(X98:AB98)</f>
        <v>85</v>
      </c>
      <c r="AD98" s="2">
        <f>AVERAGE(X98:AB98)</f>
        <v>17</v>
      </c>
    </row>
    <row r="99" spans="1:30" x14ac:dyDescent="0.35">
      <c r="A99" s="1" t="s">
        <v>9</v>
      </c>
      <c r="B99" s="2">
        <v>18.100000000000001</v>
      </c>
      <c r="C99" s="2">
        <v>13.5</v>
      </c>
      <c r="D99" s="2">
        <v>19.899999999999999</v>
      </c>
      <c r="E99" s="2">
        <v>15.1</v>
      </c>
      <c r="F99" s="2">
        <v>16.5</v>
      </c>
      <c r="G99" s="2">
        <f t="shared" ref="G99:G106" si="55">SUM(B99:F99)</f>
        <v>83.1</v>
      </c>
      <c r="H99" s="2">
        <f t="shared" ref="H99:H106" si="56">AVERAGE(B99:F99)</f>
        <v>16.619999999999997</v>
      </c>
      <c r="L99" s="1" t="s">
        <v>9</v>
      </c>
      <c r="M99" s="4">
        <v>31.5</v>
      </c>
      <c r="N99" s="4">
        <v>58</v>
      </c>
      <c r="O99" s="4">
        <v>45</v>
      </c>
      <c r="P99" s="4">
        <v>53</v>
      </c>
      <c r="Q99" s="4">
        <v>43.5</v>
      </c>
      <c r="R99" s="2">
        <f t="shared" ref="R99:R106" si="57">SUM(M99:Q99)</f>
        <v>231</v>
      </c>
      <c r="S99" s="2">
        <f t="shared" ref="S99:S106" si="58">AVERAGE(M99:Q99)</f>
        <v>46.2</v>
      </c>
      <c r="W99" s="1" t="s">
        <v>9</v>
      </c>
      <c r="X99" s="4">
        <v>18</v>
      </c>
      <c r="Y99" s="4">
        <v>19</v>
      </c>
      <c r="Z99" s="4">
        <v>17</v>
      </c>
      <c r="AA99" s="4">
        <v>18</v>
      </c>
      <c r="AB99" s="4">
        <v>17</v>
      </c>
      <c r="AC99" s="2">
        <f t="shared" ref="AC99:AC106" si="59">SUM(X99:AB99)</f>
        <v>89</v>
      </c>
      <c r="AD99" s="2">
        <f t="shared" ref="AD99:AD106" si="60">AVERAGE(X99:AB99)</f>
        <v>17.8</v>
      </c>
    </row>
    <row r="100" spans="1:30" x14ac:dyDescent="0.35">
      <c r="A100" s="1" t="s">
        <v>8</v>
      </c>
      <c r="B100" s="2">
        <v>17</v>
      </c>
      <c r="C100" s="4">
        <v>13.9</v>
      </c>
      <c r="D100" s="2">
        <v>13.3</v>
      </c>
      <c r="E100" s="4">
        <v>12.3</v>
      </c>
      <c r="F100" s="2">
        <v>17.7</v>
      </c>
      <c r="G100" s="2">
        <f t="shared" si="55"/>
        <v>74.2</v>
      </c>
      <c r="H100" s="2">
        <f t="shared" si="56"/>
        <v>14.84</v>
      </c>
      <c r="L100" s="1" t="s">
        <v>8</v>
      </c>
      <c r="M100" s="4">
        <v>27</v>
      </c>
      <c r="N100" s="4">
        <v>60</v>
      </c>
      <c r="O100" s="4">
        <v>57</v>
      </c>
      <c r="P100" s="4">
        <v>41</v>
      </c>
      <c r="Q100" s="4">
        <v>24</v>
      </c>
      <c r="R100" s="2">
        <f t="shared" si="57"/>
        <v>209</v>
      </c>
      <c r="S100" s="2">
        <f t="shared" si="58"/>
        <v>41.8</v>
      </c>
      <c r="W100" s="1" t="s">
        <v>8</v>
      </c>
      <c r="X100" s="4">
        <v>17</v>
      </c>
      <c r="Y100" s="4">
        <v>15</v>
      </c>
      <c r="Z100" s="4">
        <v>19</v>
      </c>
      <c r="AA100" s="4">
        <v>20</v>
      </c>
      <c r="AB100" s="4">
        <v>17</v>
      </c>
      <c r="AC100" s="2">
        <f t="shared" si="59"/>
        <v>88</v>
      </c>
      <c r="AD100" s="2">
        <f t="shared" si="60"/>
        <v>17.600000000000001</v>
      </c>
    </row>
    <row r="101" spans="1:30" x14ac:dyDescent="0.35">
      <c r="A101" s="1" t="s">
        <v>4</v>
      </c>
      <c r="B101" s="2">
        <v>14.7</v>
      </c>
      <c r="C101" s="2">
        <v>14.5</v>
      </c>
      <c r="D101" s="2">
        <v>14.1</v>
      </c>
      <c r="E101" s="2">
        <v>19.3</v>
      </c>
      <c r="F101" s="2">
        <v>15</v>
      </c>
      <c r="G101" s="2">
        <f t="shared" si="55"/>
        <v>77.599999999999994</v>
      </c>
      <c r="H101" s="5">
        <f t="shared" si="56"/>
        <v>15.52</v>
      </c>
      <c r="L101" s="1" t="s">
        <v>4</v>
      </c>
      <c r="M101" s="4">
        <v>45</v>
      </c>
      <c r="N101" s="4">
        <v>50</v>
      </c>
      <c r="O101" s="4">
        <v>48.5</v>
      </c>
      <c r="P101" s="4">
        <v>33</v>
      </c>
      <c r="Q101" s="4">
        <v>38</v>
      </c>
      <c r="R101" s="2">
        <f t="shared" si="57"/>
        <v>214.5</v>
      </c>
      <c r="S101" s="5">
        <f t="shared" si="58"/>
        <v>42.9</v>
      </c>
      <c r="W101" s="1" t="s">
        <v>4</v>
      </c>
      <c r="X101" s="4">
        <v>18</v>
      </c>
      <c r="Y101" s="4">
        <v>18</v>
      </c>
      <c r="Z101" s="4">
        <v>17</v>
      </c>
      <c r="AA101" s="4">
        <v>16</v>
      </c>
      <c r="AB101" s="4">
        <v>20</v>
      </c>
      <c r="AC101" s="2">
        <f t="shared" si="59"/>
        <v>89</v>
      </c>
      <c r="AD101" s="5">
        <f t="shared" si="60"/>
        <v>17.8</v>
      </c>
    </row>
    <row r="102" spans="1:30" x14ac:dyDescent="0.35">
      <c r="A102" s="1" t="s">
        <v>3</v>
      </c>
      <c r="B102" s="2">
        <v>15.7</v>
      </c>
      <c r="C102" s="2">
        <v>11.1</v>
      </c>
      <c r="D102" s="2">
        <v>16.2</v>
      </c>
      <c r="E102" s="4">
        <v>14</v>
      </c>
      <c r="F102" s="2">
        <v>12.1</v>
      </c>
      <c r="G102" s="2">
        <f t="shared" si="55"/>
        <v>69.099999999999994</v>
      </c>
      <c r="H102" s="2">
        <f t="shared" si="56"/>
        <v>13.819999999999999</v>
      </c>
      <c r="L102" s="1" t="s">
        <v>3</v>
      </c>
      <c r="M102" s="4">
        <v>49.5</v>
      </c>
      <c r="N102" s="4">
        <v>57</v>
      </c>
      <c r="O102" s="4">
        <v>55</v>
      </c>
      <c r="P102" s="4">
        <v>39</v>
      </c>
      <c r="Q102" s="4">
        <v>54</v>
      </c>
      <c r="R102" s="2">
        <f t="shared" si="57"/>
        <v>254.5</v>
      </c>
      <c r="S102" s="2">
        <f t="shared" si="58"/>
        <v>50.9</v>
      </c>
      <c r="W102" s="1" t="s">
        <v>3</v>
      </c>
      <c r="X102" s="4">
        <v>18</v>
      </c>
      <c r="Y102" s="4">
        <v>15</v>
      </c>
      <c r="Z102" s="4">
        <v>18</v>
      </c>
      <c r="AA102" s="4">
        <v>15</v>
      </c>
      <c r="AB102" s="4">
        <v>18</v>
      </c>
      <c r="AC102" s="2">
        <f t="shared" si="59"/>
        <v>84</v>
      </c>
      <c r="AD102" s="2">
        <f t="shared" si="60"/>
        <v>16.8</v>
      </c>
    </row>
    <row r="103" spans="1:30" x14ac:dyDescent="0.35">
      <c r="A103" s="1" t="s">
        <v>7</v>
      </c>
      <c r="B103" s="2">
        <v>15.1</v>
      </c>
      <c r="C103" s="2">
        <v>13.7</v>
      </c>
      <c r="D103" s="2">
        <v>13.8</v>
      </c>
      <c r="E103" s="4">
        <v>16.2</v>
      </c>
      <c r="F103" s="2">
        <v>15.3</v>
      </c>
      <c r="G103" s="2">
        <f t="shared" si="55"/>
        <v>74.099999999999994</v>
      </c>
      <c r="H103" s="2">
        <f t="shared" si="56"/>
        <v>14.819999999999999</v>
      </c>
      <c r="L103" s="1" t="s">
        <v>7</v>
      </c>
      <c r="M103" s="4">
        <v>67</v>
      </c>
      <c r="N103" s="4">
        <v>68.5</v>
      </c>
      <c r="O103" s="4">
        <v>53.5</v>
      </c>
      <c r="P103" s="4">
        <v>68</v>
      </c>
      <c r="Q103" s="4">
        <v>28</v>
      </c>
      <c r="R103" s="2">
        <f t="shared" si="57"/>
        <v>285</v>
      </c>
      <c r="S103" s="2">
        <f t="shared" si="58"/>
        <v>57</v>
      </c>
      <c r="W103" s="1" t="s">
        <v>7</v>
      </c>
      <c r="X103" s="4">
        <v>15</v>
      </c>
      <c r="Y103" s="4">
        <v>19</v>
      </c>
      <c r="Z103" s="4">
        <v>16</v>
      </c>
      <c r="AA103" s="4">
        <v>19</v>
      </c>
      <c r="AB103" s="4">
        <v>17</v>
      </c>
      <c r="AC103" s="2">
        <f t="shared" si="59"/>
        <v>86</v>
      </c>
      <c r="AD103" s="2">
        <f t="shared" si="60"/>
        <v>17.2</v>
      </c>
    </row>
    <row r="104" spans="1:30" x14ac:dyDescent="0.35">
      <c r="A104" s="1" t="s">
        <v>2</v>
      </c>
      <c r="B104" s="2">
        <v>16.899999999999999</v>
      </c>
      <c r="C104" s="2">
        <v>12.3</v>
      </c>
      <c r="D104" s="2">
        <v>13.2</v>
      </c>
      <c r="E104" s="2">
        <v>12.7</v>
      </c>
      <c r="F104" s="4">
        <v>13.2</v>
      </c>
      <c r="G104" s="2">
        <f t="shared" si="55"/>
        <v>68.3</v>
      </c>
      <c r="H104" s="5">
        <f t="shared" si="56"/>
        <v>13.66</v>
      </c>
      <c r="L104" s="1" t="s">
        <v>2</v>
      </c>
      <c r="M104" s="4">
        <v>48</v>
      </c>
      <c r="N104" s="4">
        <v>33</v>
      </c>
      <c r="O104" s="4">
        <v>32</v>
      </c>
      <c r="P104" s="4">
        <v>40</v>
      </c>
      <c r="Q104" s="4">
        <v>61</v>
      </c>
      <c r="R104" s="2">
        <f t="shared" si="57"/>
        <v>214</v>
      </c>
      <c r="S104" s="5">
        <f t="shared" si="58"/>
        <v>42.8</v>
      </c>
      <c r="W104" s="1" t="s">
        <v>2</v>
      </c>
      <c r="X104" s="4">
        <v>16</v>
      </c>
      <c r="Y104" s="4">
        <v>17</v>
      </c>
      <c r="Z104" s="4">
        <v>15</v>
      </c>
      <c r="AA104" s="4">
        <v>18</v>
      </c>
      <c r="AB104" s="4">
        <v>17</v>
      </c>
      <c r="AC104" s="2">
        <f t="shared" si="59"/>
        <v>83</v>
      </c>
      <c r="AD104" s="5">
        <f t="shared" si="60"/>
        <v>16.600000000000001</v>
      </c>
    </row>
    <row r="105" spans="1:30" x14ac:dyDescent="0.35">
      <c r="A105" s="1" t="s">
        <v>5</v>
      </c>
      <c r="B105" s="2">
        <v>15</v>
      </c>
      <c r="C105" s="2">
        <v>14.1</v>
      </c>
      <c r="D105" s="2">
        <v>14.8</v>
      </c>
      <c r="E105" s="2">
        <v>13.3</v>
      </c>
      <c r="F105" s="2">
        <v>12.4</v>
      </c>
      <c r="G105" s="2">
        <f t="shared" si="55"/>
        <v>69.600000000000009</v>
      </c>
      <c r="H105" s="5">
        <f t="shared" si="56"/>
        <v>13.920000000000002</v>
      </c>
      <c r="L105" s="1" t="s">
        <v>5</v>
      </c>
      <c r="M105" s="4">
        <v>55.5</v>
      </c>
      <c r="N105" s="4">
        <v>40</v>
      </c>
      <c r="O105" s="4">
        <v>69</v>
      </c>
      <c r="P105" s="4">
        <v>62.5</v>
      </c>
      <c r="Q105" s="4">
        <v>64.5</v>
      </c>
      <c r="R105" s="2">
        <f t="shared" si="57"/>
        <v>291.5</v>
      </c>
      <c r="S105" s="5">
        <f t="shared" si="58"/>
        <v>58.3</v>
      </c>
      <c r="W105" s="1" t="s">
        <v>5</v>
      </c>
      <c r="X105" s="4">
        <v>20</v>
      </c>
      <c r="Y105" s="4">
        <v>15</v>
      </c>
      <c r="Z105" s="4">
        <v>20</v>
      </c>
      <c r="AA105" s="4">
        <v>18</v>
      </c>
      <c r="AB105" s="4">
        <v>21</v>
      </c>
      <c r="AC105" s="2">
        <f t="shared" si="59"/>
        <v>94</v>
      </c>
      <c r="AD105" s="5">
        <f t="shared" si="60"/>
        <v>18.8</v>
      </c>
    </row>
    <row r="106" spans="1:30" x14ac:dyDescent="0.35">
      <c r="A106" s="1" t="s">
        <v>1</v>
      </c>
      <c r="B106" s="2">
        <v>15.1</v>
      </c>
      <c r="C106" s="2">
        <v>13.2</v>
      </c>
      <c r="D106" s="2">
        <v>15.8</v>
      </c>
      <c r="E106" s="2">
        <v>15.7</v>
      </c>
      <c r="F106" s="2">
        <v>12.1</v>
      </c>
      <c r="G106" s="2">
        <f t="shared" si="55"/>
        <v>71.899999999999991</v>
      </c>
      <c r="H106" s="2">
        <f t="shared" si="56"/>
        <v>14.379999999999999</v>
      </c>
      <c r="I106">
        <f>SUM(H98:H106)</f>
        <v>133.11999999999998</v>
      </c>
      <c r="L106" s="1" t="s">
        <v>1</v>
      </c>
      <c r="M106" s="4">
        <v>36.5</v>
      </c>
      <c r="N106" s="4">
        <v>16</v>
      </c>
      <c r="O106" s="4">
        <v>38</v>
      </c>
      <c r="P106" s="4">
        <v>41</v>
      </c>
      <c r="Q106" s="4">
        <v>32</v>
      </c>
      <c r="R106" s="2">
        <f t="shared" si="57"/>
        <v>163.5</v>
      </c>
      <c r="S106" s="2">
        <f t="shared" si="58"/>
        <v>32.700000000000003</v>
      </c>
      <c r="W106" s="1" t="s">
        <v>1</v>
      </c>
      <c r="X106" s="4">
        <v>36.5</v>
      </c>
      <c r="Y106" s="4">
        <v>19</v>
      </c>
      <c r="Z106" s="4">
        <v>20</v>
      </c>
      <c r="AA106" s="4">
        <v>17</v>
      </c>
      <c r="AB106" s="4">
        <v>19</v>
      </c>
      <c r="AC106" s="2">
        <f t="shared" si="59"/>
        <v>111.5</v>
      </c>
      <c r="AD106" s="2">
        <f t="shared" si="60"/>
        <v>22.3</v>
      </c>
    </row>
    <row r="107" spans="1:30" x14ac:dyDescent="0.35">
      <c r="A107" s="25"/>
      <c r="B107" s="25"/>
      <c r="C107" s="25"/>
      <c r="D107" s="25"/>
      <c r="E107" s="25"/>
      <c r="F107" s="25"/>
      <c r="G107" s="25"/>
      <c r="H107" s="25"/>
    </row>
    <row r="108" spans="1:30" x14ac:dyDescent="0.35">
      <c r="A108" s="26" t="s">
        <v>0</v>
      </c>
      <c r="B108" s="27" t="s">
        <v>20</v>
      </c>
      <c r="C108" s="27"/>
      <c r="D108" s="27"/>
      <c r="E108" s="27"/>
      <c r="F108" s="27"/>
      <c r="G108" s="26" t="s">
        <v>12</v>
      </c>
      <c r="H108" s="26" t="s">
        <v>13</v>
      </c>
      <c r="L108" s="26" t="s">
        <v>0</v>
      </c>
      <c r="M108" s="27" t="s">
        <v>20</v>
      </c>
      <c r="N108" s="27"/>
      <c r="O108" s="27"/>
      <c r="P108" s="27"/>
      <c r="Q108" s="27"/>
      <c r="R108" s="26" t="s">
        <v>12</v>
      </c>
      <c r="S108" s="26" t="s">
        <v>13</v>
      </c>
      <c r="W108" s="26" t="s">
        <v>0</v>
      </c>
      <c r="X108" s="27" t="s">
        <v>20</v>
      </c>
      <c r="Y108" s="27"/>
      <c r="Z108" s="27"/>
      <c r="AA108" s="27"/>
      <c r="AB108" s="27"/>
      <c r="AC108" s="26" t="s">
        <v>12</v>
      </c>
      <c r="AD108" s="26" t="s">
        <v>13</v>
      </c>
    </row>
    <row r="109" spans="1:30" x14ac:dyDescent="0.35">
      <c r="A109" s="26"/>
      <c r="B109" s="27" t="s">
        <v>11</v>
      </c>
      <c r="C109" s="27"/>
      <c r="D109" s="27"/>
      <c r="E109" s="27"/>
      <c r="F109" s="27"/>
      <c r="G109" s="26"/>
      <c r="H109" s="26"/>
      <c r="L109" s="26"/>
      <c r="M109" s="27" t="s">
        <v>11</v>
      </c>
      <c r="N109" s="27"/>
      <c r="O109" s="27"/>
      <c r="P109" s="27"/>
      <c r="Q109" s="27"/>
      <c r="R109" s="26"/>
      <c r="S109" s="26"/>
      <c r="W109" s="26"/>
      <c r="X109" s="27" t="s">
        <v>11</v>
      </c>
      <c r="Y109" s="27"/>
      <c r="Z109" s="27"/>
      <c r="AA109" s="27"/>
      <c r="AB109" s="27"/>
      <c r="AC109" s="26"/>
      <c r="AD109" s="26"/>
    </row>
    <row r="110" spans="1:30" x14ac:dyDescent="0.35">
      <c r="A110" s="26"/>
      <c r="B110" s="3">
        <v>1</v>
      </c>
      <c r="C110" s="3">
        <v>2</v>
      </c>
      <c r="D110" s="3">
        <v>3</v>
      </c>
      <c r="E110" s="3">
        <v>4</v>
      </c>
      <c r="F110" s="3">
        <v>5</v>
      </c>
      <c r="G110" s="26"/>
      <c r="H110" s="26"/>
      <c r="L110" s="26"/>
      <c r="M110" s="3">
        <v>1</v>
      </c>
      <c r="N110" s="3">
        <v>2</v>
      </c>
      <c r="O110" s="3">
        <v>3</v>
      </c>
      <c r="P110" s="3">
        <v>4</v>
      </c>
      <c r="Q110" s="3">
        <v>5</v>
      </c>
      <c r="R110" s="26"/>
      <c r="S110" s="26"/>
      <c r="W110" s="26"/>
      <c r="X110" s="3">
        <v>1</v>
      </c>
      <c r="Y110" s="3">
        <v>2</v>
      </c>
      <c r="Z110" s="3">
        <v>3</v>
      </c>
      <c r="AA110" s="3">
        <v>4</v>
      </c>
      <c r="AB110" s="3">
        <v>5</v>
      </c>
      <c r="AC110" s="26"/>
      <c r="AD110" s="26"/>
    </row>
    <row r="111" spans="1:30" x14ac:dyDescent="0.35">
      <c r="A111" s="1" t="s">
        <v>7</v>
      </c>
      <c r="B111" s="2">
        <v>12.9</v>
      </c>
      <c r="C111" s="2">
        <v>15.7</v>
      </c>
      <c r="D111" s="2">
        <v>18.899999999999999</v>
      </c>
      <c r="E111" s="4">
        <v>18.8</v>
      </c>
      <c r="F111" s="2">
        <v>15.7</v>
      </c>
      <c r="G111" s="2">
        <f>SUM(B111:F111)</f>
        <v>82</v>
      </c>
      <c r="H111" s="5">
        <f>AVERAGE(B111:F111)</f>
        <v>16.399999999999999</v>
      </c>
      <c r="L111" s="1" t="s">
        <v>7</v>
      </c>
      <c r="M111" s="4">
        <v>30.5</v>
      </c>
      <c r="N111" s="4">
        <v>40</v>
      </c>
      <c r="O111" s="4">
        <v>43</v>
      </c>
      <c r="P111" s="4">
        <v>48</v>
      </c>
      <c r="Q111" s="4">
        <v>44</v>
      </c>
      <c r="R111" s="2">
        <f>SUM(M111:Q111)</f>
        <v>205.5</v>
      </c>
      <c r="S111" s="2">
        <f>AVERAGE(M111:Q111)</f>
        <v>41.1</v>
      </c>
      <c r="W111" s="1" t="s">
        <v>7</v>
      </c>
      <c r="X111" s="4">
        <v>15</v>
      </c>
      <c r="Y111" s="4">
        <v>18</v>
      </c>
      <c r="Z111" s="4">
        <v>12</v>
      </c>
      <c r="AA111" s="4">
        <v>13</v>
      </c>
      <c r="AB111" s="4">
        <v>17</v>
      </c>
      <c r="AC111" s="2">
        <f>SUM(X111:AB111)</f>
        <v>75</v>
      </c>
      <c r="AD111" s="2">
        <f>AVERAGE(X111:AB111)</f>
        <v>15</v>
      </c>
    </row>
    <row r="112" spans="1:30" x14ac:dyDescent="0.35">
      <c r="A112" s="1" t="s">
        <v>9</v>
      </c>
      <c r="B112" s="2">
        <v>15</v>
      </c>
      <c r="C112" s="2">
        <v>19.3</v>
      </c>
      <c r="D112" s="4">
        <v>17.399999999999999</v>
      </c>
      <c r="E112" s="2">
        <v>13.3</v>
      </c>
      <c r="F112" s="2">
        <v>15.2</v>
      </c>
      <c r="G112" s="2">
        <f t="shared" ref="G112:G119" si="61">SUM(B112:F112)</f>
        <v>80.2</v>
      </c>
      <c r="H112" s="5">
        <f t="shared" ref="H112:H119" si="62">AVERAGE(B112:F112)</f>
        <v>16.04</v>
      </c>
      <c r="L112" s="1" t="s">
        <v>9</v>
      </c>
      <c r="M112" s="4">
        <v>30.6</v>
      </c>
      <c r="N112" s="4">
        <v>41</v>
      </c>
      <c r="O112" s="4">
        <v>44</v>
      </c>
      <c r="P112" s="4">
        <v>54</v>
      </c>
      <c r="Q112" s="4">
        <v>60.5</v>
      </c>
      <c r="R112" s="2">
        <f t="shared" ref="R112:R119" si="63">SUM(M112:Q112)</f>
        <v>230.1</v>
      </c>
      <c r="S112" s="2">
        <f t="shared" ref="S112:S119" si="64">AVERAGE(M112:Q112)</f>
        <v>46.019999999999996</v>
      </c>
      <c r="W112" s="1" t="s">
        <v>9</v>
      </c>
      <c r="X112" s="4">
        <v>17</v>
      </c>
      <c r="Y112" s="4">
        <v>16</v>
      </c>
      <c r="Z112" s="4">
        <v>15</v>
      </c>
      <c r="AA112" s="4">
        <v>20</v>
      </c>
      <c r="AB112" s="4">
        <v>19</v>
      </c>
      <c r="AC112" s="2">
        <f t="shared" ref="AC112:AC119" si="65">SUM(X112:AB112)</f>
        <v>87</v>
      </c>
      <c r="AD112" s="2">
        <f t="shared" ref="AD112:AD119" si="66">AVERAGE(X112:AB112)</f>
        <v>17.399999999999999</v>
      </c>
    </row>
    <row r="113" spans="1:30" x14ac:dyDescent="0.35">
      <c r="A113" s="1" t="s">
        <v>6</v>
      </c>
      <c r="B113" s="2">
        <v>13.4</v>
      </c>
      <c r="C113" s="2">
        <v>21.1</v>
      </c>
      <c r="D113" s="2">
        <v>12.2</v>
      </c>
      <c r="E113" s="2">
        <v>17.5</v>
      </c>
      <c r="F113" s="2">
        <v>15.7</v>
      </c>
      <c r="G113" s="2">
        <f t="shared" si="61"/>
        <v>79.900000000000006</v>
      </c>
      <c r="H113" s="5">
        <f t="shared" si="62"/>
        <v>15.98</v>
      </c>
      <c r="L113" s="1" t="s">
        <v>6</v>
      </c>
      <c r="M113" s="4">
        <v>54</v>
      </c>
      <c r="N113" s="4">
        <v>39.5</v>
      </c>
      <c r="O113" s="4">
        <v>49</v>
      </c>
      <c r="P113" s="4">
        <v>46</v>
      </c>
      <c r="Q113" s="4">
        <v>39</v>
      </c>
      <c r="R113" s="2">
        <f t="shared" si="63"/>
        <v>227.5</v>
      </c>
      <c r="S113" s="2">
        <f t="shared" si="64"/>
        <v>45.5</v>
      </c>
      <c r="W113" s="1" t="s">
        <v>6</v>
      </c>
      <c r="X113" s="4">
        <v>19</v>
      </c>
      <c r="Y113" s="4">
        <v>19</v>
      </c>
      <c r="Z113" s="4">
        <v>16</v>
      </c>
      <c r="AA113" s="4">
        <v>18</v>
      </c>
      <c r="AB113" s="4">
        <v>16</v>
      </c>
      <c r="AC113" s="2">
        <f t="shared" si="65"/>
        <v>88</v>
      </c>
      <c r="AD113" s="2">
        <f t="shared" si="66"/>
        <v>17.600000000000001</v>
      </c>
    </row>
    <row r="114" spans="1:30" x14ac:dyDescent="0.35">
      <c r="A114" s="1" t="s">
        <v>5</v>
      </c>
      <c r="B114" s="4">
        <v>14.8</v>
      </c>
      <c r="C114" s="2">
        <v>20.100000000000001</v>
      </c>
      <c r="D114" s="2">
        <v>13.3</v>
      </c>
      <c r="E114" s="2">
        <v>14.6</v>
      </c>
      <c r="F114" s="2">
        <v>15.6</v>
      </c>
      <c r="G114" s="2">
        <f t="shared" si="61"/>
        <v>78.400000000000006</v>
      </c>
      <c r="H114" s="5">
        <f t="shared" si="62"/>
        <v>15.680000000000001</v>
      </c>
      <c r="L114" s="1" t="s">
        <v>5</v>
      </c>
      <c r="M114" s="4">
        <v>47.5</v>
      </c>
      <c r="N114" s="4">
        <v>31.5</v>
      </c>
      <c r="O114" s="4">
        <v>39</v>
      </c>
      <c r="P114" s="4">
        <v>54.5</v>
      </c>
      <c r="Q114" s="4">
        <v>42.5</v>
      </c>
      <c r="R114" s="2">
        <f t="shared" si="63"/>
        <v>215</v>
      </c>
      <c r="S114" s="5">
        <f t="shared" si="64"/>
        <v>43</v>
      </c>
      <c r="W114" s="1" t="s">
        <v>5</v>
      </c>
      <c r="X114" s="4">
        <v>18</v>
      </c>
      <c r="Y114" s="4">
        <v>20</v>
      </c>
      <c r="Z114" s="4">
        <v>16</v>
      </c>
      <c r="AA114" s="4">
        <v>19</v>
      </c>
      <c r="AB114" s="4">
        <v>18</v>
      </c>
      <c r="AC114" s="2">
        <f t="shared" si="65"/>
        <v>91</v>
      </c>
      <c r="AD114" s="5">
        <f t="shared" si="66"/>
        <v>18.2</v>
      </c>
    </row>
    <row r="115" spans="1:30" x14ac:dyDescent="0.35">
      <c r="A115" s="1" t="s">
        <v>8</v>
      </c>
      <c r="B115" s="2">
        <v>17.600000000000001</v>
      </c>
      <c r="C115" s="2">
        <v>19.2</v>
      </c>
      <c r="D115" s="2">
        <v>16</v>
      </c>
      <c r="E115" s="4">
        <v>14.3</v>
      </c>
      <c r="F115" s="2">
        <v>14.3</v>
      </c>
      <c r="G115" s="2">
        <f t="shared" si="61"/>
        <v>81.399999999999991</v>
      </c>
      <c r="H115" s="5">
        <f t="shared" si="62"/>
        <v>16.279999999999998</v>
      </c>
      <c r="L115" s="1" t="s">
        <v>8</v>
      </c>
      <c r="M115" s="4">
        <v>49</v>
      </c>
      <c r="N115" s="4">
        <v>53</v>
      </c>
      <c r="O115" s="4">
        <v>33</v>
      </c>
      <c r="P115" s="4">
        <v>38</v>
      </c>
      <c r="Q115" s="4">
        <v>60</v>
      </c>
      <c r="R115" s="2">
        <f t="shared" si="63"/>
        <v>233</v>
      </c>
      <c r="S115" s="2">
        <f t="shared" si="64"/>
        <v>46.6</v>
      </c>
      <c r="W115" s="1" t="s">
        <v>8</v>
      </c>
      <c r="X115" s="4">
        <v>17</v>
      </c>
      <c r="Y115" s="4">
        <v>15</v>
      </c>
      <c r="Z115" s="4">
        <v>18</v>
      </c>
      <c r="AA115" s="4">
        <v>15</v>
      </c>
      <c r="AB115" s="4">
        <v>14</v>
      </c>
      <c r="AC115" s="2">
        <f t="shared" si="65"/>
        <v>79</v>
      </c>
      <c r="AD115" s="2">
        <f t="shared" si="66"/>
        <v>15.8</v>
      </c>
    </row>
    <row r="116" spans="1:30" x14ac:dyDescent="0.35">
      <c r="A116" s="1" t="s">
        <v>2</v>
      </c>
      <c r="B116" s="2">
        <v>14.4</v>
      </c>
      <c r="C116" s="2">
        <v>18.100000000000001</v>
      </c>
      <c r="D116" s="2">
        <v>14.6</v>
      </c>
      <c r="E116" s="2">
        <v>15.6</v>
      </c>
      <c r="F116" s="2">
        <v>18.100000000000001</v>
      </c>
      <c r="G116" s="2">
        <f t="shared" si="61"/>
        <v>80.800000000000011</v>
      </c>
      <c r="H116" s="5">
        <f t="shared" si="62"/>
        <v>16.160000000000004</v>
      </c>
      <c r="L116" s="1" t="s">
        <v>2</v>
      </c>
      <c r="M116" s="4">
        <v>14</v>
      </c>
      <c r="N116" s="4">
        <v>34</v>
      </c>
      <c r="O116" s="4">
        <v>32</v>
      </c>
      <c r="P116" s="4">
        <v>39</v>
      </c>
      <c r="Q116" s="4">
        <v>31.5</v>
      </c>
      <c r="R116" s="2">
        <f t="shared" si="63"/>
        <v>150.5</v>
      </c>
      <c r="S116" s="5">
        <f t="shared" si="64"/>
        <v>30.1</v>
      </c>
      <c r="W116" s="1" t="s">
        <v>2</v>
      </c>
      <c r="X116" s="4">
        <v>15</v>
      </c>
      <c r="Y116" s="4">
        <v>18</v>
      </c>
      <c r="Z116" s="4">
        <v>12</v>
      </c>
      <c r="AA116" s="4">
        <v>14</v>
      </c>
      <c r="AB116" s="4">
        <v>15</v>
      </c>
      <c r="AC116" s="2">
        <f t="shared" si="65"/>
        <v>74</v>
      </c>
      <c r="AD116" s="5">
        <f t="shared" si="66"/>
        <v>14.8</v>
      </c>
    </row>
    <row r="117" spans="1:30" x14ac:dyDescent="0.35">
      <c r="A117" s="1" t="s">
        <v>3</v>
      </c>
      <c r="B117" s="2">
        <v>17.3</v>
      </c>
      <c r="C117" s="2">
        <v>16.8</v>
      </c>
      <c r="D117" s="2">
        <v>16.3</v>
      </c>
      <c r="E117" s="2">
        <v>20.100000000000001</v>
      </c>
      <c r="F117" s="4">
        <v>16.899999999999999</v>
      </c>
      <c r="G117" s="2">
        <f t="shared" si="61"/>
        <v>87.4</v>
      </c>
      <c r="H117" s="5">
        <f t="shared" si="62"/>
        <v>17.48</v>
      </c>
      <c r="L117" s="1" t="s">
        <v>3</v>
      </c>
      <c r="M117" s="4">
        <v>54.5</v>
      </c>
      <c r="N117" s="4">
        <v>32</v>
      </c>
      <c r="O117" s="4">
        <v>425</v>
      </c>
      <c r="P117" s="4">
        <v>53</v>
      </c>
      <c r="Q117" s="4">
        <v>57.5</v>
      </c>
      <c r="R117" s="2">
        <f t="shared" si="63"/>
        <v>622</v>
      </c>
      <c r="S117" s="5">
        <f t="shared" si="64"/>
        <v>124.4</v>
      </c>
      <c r="W117" s="1" t="s">
        <v>3</v>
      </c>
      <c r="X117" s="4">
        <v>14</v>
      </c>
      <c r="Y117" s="4">
        <v>16</v>
      </c>
      <c r="Z117" s="4">
        <v>15</v>
      </c>
      <c r="AA117" s="4">
        <v>13</v>
      </c>
      <c r="AB117" s="4">
        <v>13</v>
      </c>
      <c r="AC117" s="2">
        <f t="shared" si="65"/>
        <v>71</v>
      </c>
      <c r="AD117" s="5">
        <f t="shared" si="66"/>
        <v>14.2</v>
      </c>
    </row>
    <row r="118" spans="1:30" x14ac:dyDescent="0.35">
      <c r="A118" s="1" t="s">
        <v>5</v>
      </c>
      <c r="B118" s="2">
        <v>15</v>
      </c>
      <c r="C118" s="2">
        <v>17</v>
      </c>
      <c r="D118" s="2">
        <v>15.8</v>
      </c>
      <c r="E118" s="2">
        <v>17.7</v>
      </c>
      <c r="F118" s="2">
        <v>19.100000000000001</v>
      </c>
      <c r="G118" s="2">
        <f t="shared" si="61"/>
        <v>84.6</v>
      </c>
      <c r="H118" s="5">
        <f t="shared" si="62"/>
        <v>16.919999999999998</v>
      </c>
      <c r="L118" s="1" t="s">
        <v>5</v>
      </c>
      <c r="M118" s="4">
        <v>55</v>
      </c>
      <c r="N118" s="4">
        <v>32</v>
      </c>
      <c r="O118" s="4">
        <v>47</v>
      </c>
      <c r="P118" s="4">
        <v>47.5</v>
      </c>
      <c r="Q118" s="4">
        <v>57</v>
      </c>
      <c r="R118" s="2">
        <f t="shared" si="63"/>
        <v>238.5</v>
      </c>
      <c r="S118" s="5">
        <f t="shared" si="64"/>
        <v>47.7</v>
      </c>
      <c r="W118" s="1" t="s">
        <v>5</v>
      </c>
      <c r="X118" s="4">
        <v>19</v>
      </c>
      <c r="Y118" s="4">
        <v>20</v>
      </c>
      <c r="Z118" s="4">
        <v>18</v>
      </c>
      <c r="AA118" s="4">
        <v>19</v>
      </c>
      <c r="AB118" s="4">
        <v>17</v>
      </c>
      <c r="AC118" s="2">
        <f t="shared" si="65"/>
        <v>93</v>
      </c>
      <c r="AD118" s="5">
        <f t="shared" si="66"/>
        <v>18.600000000000001</v>
      </c>
    </row>
    <row r="119" spans="1:30" x14ac:dyDescent="0.35">
      <c r="A119" s="1" t="s">
        <v>1</v>
      </c>
      <c r="B119" s="2">
        <v>15.5</v>
      </c>
      <c r="C119" s="2">
        <v>16.899999999999999</v>
      </c>
      <c r="D119" s="2">
        <v>10.7</v>
      </c>
      <c r="E119" s="2">
        <v>19.600000000000001</v>
      </c>
      <c r="F119" s="2">
        <v>16</v>
      </c>
      <c r="G119" s="2">
        <f t="shared" si="61"/>
        <v>78.699999999999989</v>
      </c>
      <c r="H119" s="5">
        <f t="shared" si="62"/>
        <v>15.739999999999998</v>
      </c>
      <c r="I119" s="7">
        <f>SUM(H111:H119)</f>
        <v>146.68000000000004</v>
      </c>
      <c r="L119" s="1" t="s">
        <v>1</v>
      </c>
      <c r="M119" s="4">
        <v>41</v>
      </c>
      <c r="N119" s="4">
        <v>36</v>
      </c>
      <c r="O119" s="4">
        <v>47</v>
      </c>
      <c r="P119" s="4">
        <v>32</v>
      </c>
      <c r="Q119" s="4">
        <v>46.5</v>
      </c>
      <c r="R119" s="2">
        <f t="shared" si="63"/>
        <v>202.5</v>
      </c>
      <c r="S119" s="5">
        <f t="shared" si="64"/>
        <v>40.5</v>
      </c>
      <c r="W119" s="1" t="s">
        <v>1</v>
      </c>
      <c r="X119" s="4">
        <v>15</v>
      </c>
      <c r="Y119" s="4">
        <v>18</v>
      </c>
      <c r="Z119" s="4">
        <v>18</v>
      </c>
      <c r="AA119" s="4">
        <v>14</v>
      </c>
      <c r="AB119" s="4">
        <v>15</v>
      </c>
      <c r="AC119" s="2">
        <f t="shared" si="65"/>
        <v>80</v>
      </c>
      <c r="AD119" s="5">
        <f t="shared" si="66"/>
        <v>16</v>
      </c>
    </row>
  </sheetData>
  <mergeCells count="182">
    <mergeCell ref="AH68:AH70"/>
    <mergeCell ref="AI68:AM68"/>
    <mergeCell ref="AN68:AN70"/>
    <mergeCell ref="AO68:AO70"/>
    <mergeCell ref="AI69:AM69"/>
    <mergeCell ref="AH55:AH57"/>
    <mergeCell ref="AI55:AM55"/>
    <mergeCell ref="AN55:AN57"/>
    <mergeCell ref="AO55:AO57"/>
    <mergeCell ref="AI56:AM56"/>
    <mergeCell ref="AH41:AO41"/>
    <mergeCell ref="AH42:AH44"/>
    <mergeCell ref="AI42:AM42"/>
    <mergeCell ref="AN42:AN44"/>
    <mergeCell ref="AO42:AO44"/>
    <mergeCell ref="AI43:AM43"/>
    <mergeCell ref="AH28:AH30"/>
    <mergeCell ref="AI28:AM28"/>
    <mergeCell ref="AN28:AN30"/>
    <mergeCell ref="AO28:AO30"/>
    <mergeCell ref="AI29:AM29"/>
    <mergeCell ref="AH15:AH17"/>
    <mergeCell ref="AI15:AM15"/>
    <mergeCell ref="AN15:AN17"/>
    <mergeCell ref="AO15:AO17"/>
    <mergeCell ref="AI16:AM16"/>
    <mergeCell ref="AH1:AO1"/>
    <mergeCell ref="AH2:AH4"/>
    <mergeCell ref="AI2:AM2"/>
    <mergeCell ref="AN2:AN4"/>
    <mergeCell ref="AO2:AO4"/>
    <mergeCell ref="AI3:AM3"/>
    <mergeCell ref="W108:W110"/>
    <mergeCell ref="X108:AB108"/>
    <mergeCell ref="AC108:AC110"/>
    <mergeCell ref="AD108:AD110"/>
    <mergeCell ref="X109:AB109"/>
    <mergeCell ref="W95:W97"/>
    <mergeCell ref="X95:AB95"/>
    <mergeCell ref="AC95:AC97"/>
    <mergeCell ref="AD95:AD97"/>
    <mergeCell ref="X96:AB96"/>
    <mergeCell ref="W81:AD81"/>
    <mergeCell ref="W82:W84"/>
    <mergeCell ref="X82:AB82"/>
    <mergeCell ref="AC82:AC84"/>
    <mergeCell ref="AD82:AD84"/>
    <mergeCell ref="X83:AB83"/>
    <mergeCell ref="W68:W70"/>
    <mergeCell ref="X68:AB68"/>
    <mergeCell ref="AC68:AC70"/>
    <mergeCell ref="AD68:AD70"/>
    <mergeCell ref="X69:AB69"/>
    <mergeCell ref="W55:W57"/>
    <mergeCell ref="X55:AB55"/>
    <mergeCell ref="AC55:AC57"/>
    <mergeCell ref="AD55:AD57"/>
    <mergeCell ref="X56:AB56"/>
    <mergeCell ref="W41:AD41"/>
    <mergeCell ref="W42:W44"/>
    <mergeCell ref="X42:AB42"/>
    <mergeCell ref="AC42:AC44"/>
    <mergeCell ref="AD42:AD44"/>
    <mergeCell ref="X43:AB43"/>
    <mergeCell ref="W28:W30"/>
    <mergeCell ref="X28:AB28"/>
    <mergeCell ref="AC28:AC30"/>
    <mergeCell ref="AD28:AD30"/>
    <mergeCell ref="X29:AB29"/>
    <mergeCell ref="W15:W17"/>
    <mergeCell ref="X15:AB15"/>
    <mergeCell ref="AC15:AC17"/>
    <mergeCell ref="AD15:AD17"/>
    <mergeCell ref="X16:AB16"/>
    <mergeCell ref="W1:AD1"/>
    <mergeCell ref="W2:W4"/>
    <mergeCell ref="X2:AB2"/>
    <mergeCell ref="AC2:AC4"/>
    <mergeCell ref="AD2:AD4"/>
    <mergeCell ref="X3:AB3"/>
    <mergeCell ref="L108:L110"/>
    <mergeCell ref="M108:Q108"/>
    <mergeCell ref="R108:R110"/>
    <mergeCell ref="S108:S110"/>
    <mergeCell ref="M109:Q109"/>
    <mergeCell ref="L95:L97"/>
    <mergeCell ref="M95:Q95"/>
    <mergeCell ref="R95:R97"/>
    <mergeCell ref="S95:S97"/>
    <mergeCell ref="M96:Q96"/>
    <mergeCell ref="L81:S81"/>
    <mergeCell ref="L82:L84"/>
    <mergeCell ref="M82:Q82"/>
    <mergeCell ref="R82:R84"/>
    <mergeCell ref="S82:S84"/>
    <mergeCell ref="M83:Q83"/>
    <mergeCell ref="L68:L70"/>
    <mergeCell ref="M68:Q68"/>
    <mergeCell ref="R68:R70"/>
    <mergeCell ref="S68:S70"/>
    <mergeCell ref="M69:Q69"/>
    <mergeCell ref="L55:L57"/>
    <mergeCell ref="M55:Q55"/>
    <mergeCell ref="R55:R57"/>
    <mergeCell ref="S55:S57"/>
    <mergeCell ref="M56:Q56"/>
    <mergeCell ref="L41:S41"/>
    <mergeCell ref="L42:L44"/>
    <mergeCell ref="M42:Q42"/>
    <mergeCell ref="R42:R44"/>
    <mergeCell ref="S42:S44"/>
    <mergeCell ref="M43:Q43"/>
    <mergeCell ref="L28:L30"/>
    <mergeCell ref="M28:Q28"/>
    <mergeCell ref="R28:R30"/>
    <mergeCell ref="S28:S30"/>
    <mergeCell ref="M29:Q29"/>
    <mergeCell ref="L15:L17"/>
    <mergeCell ref="M15:Q15"/>
    <mergeCell ref="R15:R17"/>
    <mergeCell ref="S15:S17"/>
    <mergeCell ref="M16:Q16"/>
    <mergeCell ref="A1:H1"/>
    <mergeCell ref="L2:L4"/>
    <mergeCell ref="M2:Q2"/>
    <mergeCell ref="R2:R4"/>
    <mergeCell ref="S2:S4"/>
    <mergeCell ref="M3:Q3"/>
    <mergeCell ref="L1:S1"/>
    <mergeCell ref="H15:H17"/>
    <mergeCell ref="B16:F16"/>
    <mergeCell ref="A2:A4"/>
    <mergeCell ref="B2:F2"/>
    <mergeCell ref="B3:F3"/>
    <mergeCell ref="G2:G4"/>
    <mergeCell ref="H2:H4"/>
    <mergeCell ref="A14:H14"/>
    <mergeCell ref="A15:A17"/>
    <mergeCell ref="B15:F15"/>
    <mergeCell ref="G15:G17"/>
    <mergeCell ref="A41:H41"/>
    <mergeCell ref="A42:A44"/>
    <mergeCell ref="B42:F42"/>
    <mergeCell ref="G42:G44"/>
    <mergeCell ref="H42:H44"/>
    <mergeCell ref="B43:F43"/>
    <mergeCell ref="A27:H27"/>
    <mergeCell ref="A28:A30"/>
    <mergeCell ref="B28:F28"/>
    <mergeCell ref="G28:G30"/>
    <mergeCell ref="H28:H30"/>
    <mergeCell ref="B29:F29"/>
    <mergeCell ref="A54:H54"/>
    <mergeCell ref="A55:A57"/>
    <mergeCell ref="B55:F55"/>
    <mergeCell ref="G55:G57"/>
    <mergeCell ref="H55:H57"/>
    <mergeCell ref="B56:F56"/>
    <mergeCell ref="A67:H67"/>
    <mergeCell ref="A68:A70"/>
    <mergeCell ref="B68:F68"/>
    <mergeCell ref="G68:G70"/>
    <mergeCell ref="H68:H70"/>
    <mergeCell ref="B69:F69"/>
    <mergeCell ref="A107:H107"/>
    <mergeCell ref="A108:A110"/>
    <mergeCell ref="B108:F108"/>
    <mergeCell ref="G108:G110"/>
    <mergeCell ref="H108:H110"/>
    <mergeCell ref="B109:F109"/>
    <mergeCell ref="A81:H81"/>
    <mergeCell ref="A82:A84"/>
    <mergeCell ref="B82:F82"/>
    <mergeCell ref="G82:G84"/>
    <mergeCell ref="H82:H84"/>
    <mergeCell ref="B83:F83"/>
    <mergeCell ref="A94:H94"/>
    <mergeCell ref="A95:A97"/>
    <mergeCell ref="B95:F95"/>
    <mergeCell ref="G95:G97"/>
    <mergeCell ref="H95:H97"/>
    <mergeCell ref="B96:F9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9"/>
  <sheetViews>
    <sheetView topLeftCell="H100" workbookViewId="0">
      <selection activeCell="R20" sqref="R20:Y20"/>
    </sheetView>
  </sheetViews>
  <sheetFormatPr defaultRowHeight="14.5" x14ac:dyDescent="0.35"/>
  <sheetData>
    <row r="1" spans="1:21" x14ac:dyDescent="0.35">
      <c r="A1" s="28" t="s">
        <v>14</v>
      </c>
      <c r="B1" s="28"/>
      <c r="C1" s="28"/>
      <c r="D1" s="28"/>
      <c r="E1" s="28"/>
      <c r="F1" s="28"/>
      <c r="G1" s="28"/>
      <c r="H1" s="28"/>
    </row>
    <row r="2" spans="1:21" x14ac:dyDescent="0.35">
      <c r="A2" s="26" t="s">
        <v>0</v>
      </c>
      <c r="B2" s="27" t="s">
        <v>10</v>
      </c>
      <c r="C2" s="27"/>
      <c r="D2" s="27"/>
      <c r="E2" s="27"/>
      <c r="F2" s="27"/>
      <c r="G2" s="26" t="s">
        <v>12</v>
      </c>
      <c r="H2" s="26" t="s">
        <v>13</v>
      </c>
      <c r="J2" s="2" t="s">
        <v>28</v>
      </c>
      <c r="K2" s="2" t="s">
        <v>10</v>
      </c>
      <c r="L2" s="2" t="s">
        <v>16</v>
      </c>
      <c r="M2" s="2" t="s">
        <v>20</v>
      </c>
      <c r="N2" s="2" t="s">
        <v>29</v>
      </c>
      <c r="O2" s="2" t="s">
        <v>30</v>
      </c>
      <c r="Q2" s="8" t="s">
        <v>31</v>
      </c>
      <c r="R2" s="9"/>
    </row>
    <row r="3" spans="1:21" x14ac:dyDescent="0.35">
      <c r="A3" s="26"/>
      <c r="B3" s="27" t="s">
        <v>11</v>
      </c>
      <c r="C3" s="27"/>
      <c r="D3" s="27"/>
      <c r="E3" s="27"/>
      <c r="F3" s="27"/>
      <c r="G3" s="26"/>
      <c r="H3" s="26"/>
      <c r="J3" s="2" t="s">
        <v>8</v>
      </c>
      <c r="K3" s="5">
        <f>H12</f>
        <v>3.7</v>
      </c>
      <c r="L3" s="5">
        <f>H20</f>
        <v>3.78</v>
      </c>
      <c r="M3" s="5">
        <f>H35</f>
        <v>3.46</v>
      </c>
      <c r="N3" s="5">
        <f>SUM(K3:M3)</f>
        <v>10.940000000000001</v>
      </c>
      <c r="O3" s="19">
        <f>AVERAGE(K3:M3)</f>
        <v>3.6466666666666669</v>
      </c>
      <c r="Q3" s="12"/>
      <c r="R3" s="12" t="s">
        <v>32</v>
      </c>
      <c r="S3" s="12" t="s">
        <v>33</v>
      </c>
      <c r="T3" s="12" t="s">
        <v>49</v>
      </c>
      <c r="U3" s="12" t="s">
        <v>29</v>
      </c>
    </row>
    <row r="4" spans="1:21" x14ac:dyDescent="0.35">
      <c r="A4" s="26"/>
      <c r="B4" s="3">
        <v>1</v>
      </c>
      <c r="C4" s="3">
        <v>2</v>
      </c>
      <c r="D4" s="3">
        <v>3</v>
      </c>
      <c r="E4" s="3">
        <v>4</v>
      </c>
      <c r="F4" s="3">
        <v>5</v>
      </c>
      <c r="G4" s="26"/>
      <c r="H4" s="26"/>
      <c r="J4" s="2" t="s">
        <v>6</v>
      </c>
      <c r="K4" s="5">
        <f>H10</f>
        <v>3.38</v>
      </c>
      <c r="L4" s="5">
        <f>H18</f>
        <v>3.34</v>
      </c>
      <c r="M4" s="5">
        <f>H33</f>
        <v>3.9199999999999995</v>
      </c>
      <c r="N4" s="5">
        <f t="shared" ref="N4:N11" si="0">SUM(K4:M4)</f>
        <v>10.639999999999999</v>
      </c>
      <c r="O4" s="19">
        <f t="shared" ref="O4:O11" si="1">AVERAGE(K4:M4)</f>
        <v>3.5466666666666664</v>
      </c>
      <c r="Q4" s="12" t="s">
        <v>50</v>
      </c>
      <c r="R4" s="11">
        <f>N3</f>
        <v>10.940000000000001</v>
      </c>
      <c r="S4" s="11">
        <f>N6</f>
        <v>10.280000000000001</v>
      </c>
      <c r="T4" s="11">
        <f>N9</f>
        <v>11.219999999999999</v>
      </c>
      <c r="U4" s="11">
        <f>SUM(R4:T4)</f>
        <v>32.44</v>
      </c>
    </row>
    <row r="5" spans="1:21" x14ac:dyDescent="0.35">
      <c r="A5" s="1" t="s">
        <v>1</v>
      </c>
      <c r="B5" s="2">
        <v>5.4</v>
      </c>
      <c r="C5" s="2">
        <v>5.2</v>
      </c>
      <c r="D5" s="2">
        <v>4.4000000000000004</v>
      </c>
      <c r="E5" s="4">
        <v>4</v>
      </c>
      <c r="F5" s="2">
        <v>4.4000000000000004</v>
      </c>
      <c r="G5" s="2">
        <f>SUM(B5:F5)</f>
        <v>23.4</v>
      </c>
      <c r="H5" s="2">
        <f>AVERAGE(B5:F5)</f>
        <v>4.68</v>
      </c>
      <c r="J5" s="2" t="s">
        <v>5</v>
      </c>
      <c r="K5" s="5">
        <f>H9</f>
        <v>4.4599999999999991</v>
      </c>
      <c r="L5" s="5">
        <f>H25</f>
        <v>3.0599999999999996</v>
      </c>
      <c r="M5" s="5">
        <f>H34</f>
        <v>3.7800000000000002</v>
      </c>
      <c r="N5" s="5">
        <f t="shared" si="0"/>
        <v>11.299999999999999</v>
      </c>
      <c r="O5" s="19">
        <f t="shared" si="1"/>
        <v>3.7666666666666662</v>
      </c>
      <c r="Q5" s="12" t="s">
        <v>51</v>
      </c>
      <c r="R5" s="11">
        <f>N4</f>
        <v>10.639999999999999</v>
      </c>
      <c r="S5" s="11">
        <f>N7</f>
        <v>12.14</v>
      </c>
      <c r="T5" s="11">
        <f>N10</f>
        <v>10.639999999999999</v>
      </c>
      <c r="U5" s="11">
        <f>SUM(R5:T5)</f>
        <v>33.42</v>
      </c>
    </row>
    <row r="6" spans="1:21" x14ac:dyDescent="0.35">
      <c r="A6" s="1" t="s">
        <v>2</v>
      </c>
      <c r="B6" s="2">
        <v>4.7</v>
      </c>
      <c r="C6" s="2">
        <v>3.3</v>
      </c>
      <c r="D6" s="2">
        <v>5.9</v>
      </c>
      <c r="E6" s="2">
        <v>3.8</v>
      </c>
      <c r="F6" s="2">
        <v>4.0999999999999996</v>
      </c>
      <c r="G6" s="2">
        <f t="shared" ref="G6:G13" si="2">SUM(B6:F6)</f>
        <v>21.799999999999997</v>
      </c>
      <c r="H6" s="2">
        <f t="shared" ref="H6:H12" si="3">AVERAGE(B6:F6)</f>
        <v>4.3599999999999994</v>
      </c>
      <c r="J6" s="2" t="s">
        <v>3</v>
      </c>
      <c r="K6" s="5">
        <f>H7</f>
        <v>3.96</v>
      </c>
      <c r="L6" s="5">
        <f>H22</f>
        <v>2.62</v>
      </c>
      <c r="M6" s="5">
        <f>D24</f>
        <v>3.7</v>
      </c>
      <c r="N6" s="5">
        <f t="shared" si="0"/>
        <v>10.280000000000001</v>
      </c>
      <c r="O6" s="19">
        <f t="shared" si="1"/>
        <v>3.4266666666666672</v>
      </c>
      <c r="Q6" s="12" t="s">
        <v>52</v>
      </c>
      <c r="R6" s="11">
        <f>N5</f>
        <v>11.299999999999999</v>
      </c>
      <c r="S6" s="11">
        <f>N8</f>
        <v>9.4400000000000013</v>
      </c>
      <c r="T6" s="11">
        <f>N11</f>
        <v>20.340000000000003</v>
      </c>
      <c r="U6" s="11">
        <f>SUM(R6:T6)</f>
        <v>41.080000000000005</v>
      </c>
    </row>
    <row r="7" spans="1:21" x14ac:dyDescent="0.35">
      <c r="A7" s="1" t="s">
        <v>3</v>
      </c>
      <c r="B7" s="2">
        <v>2.6</v>
      </c>
      <c r="C7" s="2">
        <v>5.0999999999999996</v>
      </c>
      <c r="D7" s="2">
        <v>3.3</v>
      </c>
      <c r="E7" s="2">
        <v>5.7</v>
      </c>
      <c r="F7" s="2">
        <v>3.1</v>
      </c>
      <c r="G7" s="2">
        <f t="shared" si="2"/>
        <v>19.8</v>
      </c>
      <c r="H7" s="2">
        <f>AVERAGE(B7:F7)</f>
        <v>3.96</v>
      </c>
      <c r="J7" s="2" t="s">
        <v>7</v>
      </c>
      <c r="K7" s="5">
        <f>H11</f>
        <v>5.4</v>
      </c>
      <c r="L7" s="5">
        <f>H23</f>
        <v>3.9199999999999995</v>
      </c>
      <c r="M7" s="5">
        <f>H31</f>
        <v>2.8200000000000003</v>
      </c>
      <c r="N7" s="5">
        <f t="shared" si="0"/>
        <v>12.14</v>
      </c>
      <c r="O7" s="19">
        <f t="shared" si="1"/>
        <v>4.0466666666666669</v>
      </c>
      <c r="Q7" s="12" t="s">
        <v>29</v>
      </c>
      <c r="R7" s="11">
        <f>SUM(R4:R6)</f>
        <v>32.879999999999995</v>
      </c>
      <c r="S7" s="11">
        <f t="shared" ref="S7:U7" si="4">SUM(S4:S6)</f>
        <v>31.860000000000003</v>
      </c>
      <c r="T7" s="11">
        <f t="shared" si="4"/>
        <v>42.2</v>
      </c>
      <c r="U7" s="13">
        <f t="shared" si="4"/>
        <v>106.94</v>
      </c>
    </row>
    <row r="8" spans="1:21" x14ac:dyDescent="0.35">
      <c r="A8" s="1" t="s">
        <v>4</v>
      </c>
      <c r="B8" s="2">
        <v>3.5</v>
      </c>
      <c r="C8" s="2">
        <v>3.6</v>
      </c>
      <c r="D8" s="2">
        <v>3.3</v>
      </c>
      <c r="E8" s="2">
        <v>3.3</v>
      </c>
      <c r="F8" s="2">
        <v>2.2999999999999998</v>
      </c>
      <c r="G8" s="4">
        <f t="shared" si="2"/>
        <v>16</v>
      </c>
      <c r="H8" s="5">
        <f t="shared" si="3"/>
        <v>3.2</v>
      </c>
      <c r="J8" s="2" t="s">
        <v>4</v>
      </c>
      <c r="K8" s="5">
        <f>H8</f>
        <v>3.2</v>
      </c>
      <c r="L8" s="5">
        <f>H21</f>
        <v>3.7</v>
      </c>
      <c r="M8" s="5">
        <f>H38</f>
        <v>2.54</v>
      </c>
      <c r="N8" s="5">
        <f t="shared" si="0"/>
        <v>9.4400000000000013</v>
      </c>
      <c r="O8" s="19">
        <f t="shared" si="1"/>
        <v>3.1466666666666669</v>
      </c>
      <c r="Q8" s="23" t="s">
        <v>55</v>
      </c>
      <c r="R8">
        <f>R7/(5*3)</f>
        <v>2.1919999999999997</v>
      </c>
      <c r="S8">
        <f>S7/(5*3)</f>
        <v>2.1240000000000001</v>
      </c>
      <c r="T8">
        <f>T7/(5*3)</f>
        <v>2.8133333333333335</v>
      </c>
    </row>
    <row r="9" spans="1:21" x14ac:dyDescent="0.35">
      <c r="A9" s="1" t="s">
        <v>5</v>
      </c>
      <c r="B9" s="2">
        <v>2.8</v>
      </c>
      <c r="C9" s="2">
        <v>3.8</v>
      </c>
      <c r="D9" s="2">
        <v>7.1</v>
      </c>
      <c r="E9" s="4">
        <v>4</v>
      </c>
      <c r="F9" s="2">
        <v>4.5999999999999996</v>
      </c>
      <c r="G9" s="2">
        <f t="shared" si="2"/>
        <v>22.299999999999997</v>
      </c>
      <c r="H9" s="2">
        <f t="shared" si="3"/>
        <v>4.4599999999999991</v>
      </c>
      <c r="J9" s="2" t="s">
        <v>1</v>
      </c>
      <c r="K9" s="5">
        <f>H5</f>
        <v>4.68</v>
      </c>
      <c r="L9" s="5">
        <f>H26</f>
        <v>3.04</v>
      </c>
      <c r="M9" s="5">
        <f>H39</f>
        <v>3.5</v>
      </c>
      <c r="N9" s="5">
        <f t="shared" si="0"/>
        <v>11.219999999999999</v>
      </c>
      <c r="O9" s="19">
        <f t="shared" si="1"/>
        <v>3.7399999999999998</v>
      </c>
      <c r="Q9" s="14" t="s">
        <v>34</v>
      </c>
      <c r="R9" s="14">
        <f>U7^2/27</f>
        <v>423.56161481481479</v>
      </c>
    </row>
    <row r="10" spans="1:21" x14ac:dyDescent="0.35">
      <c r="A10" s="1" t="s">
        <v>6</v>
      </c>
      <c r="B10" s="2">
        <v>3.1</v>
      </c>
      <c r="C10" s="2">
        <v>3.2</v>
      </c>
      <c r="D10" s="2">
        <v>3.1</v>
      </c>
      <c r="E10" s="2">
        <v>4.0999999999999996</v>
      </c>
      <c r="F10" s="2">
        <v>3.4</v>
      </c>
      <c r="G10" s="2">
        <f t="shared" si="2"/>
        <v>16.899999999999999</v>
      </c>
      <c r="H10" s="2">
        <f t="shared" si="3"/>
        <v>3.38</v>
      </c>
      <c r="J10" s="2" t="s">
        <v>2</v>
      </c>
      <c r="K10" s="5">
        <f>H6</f>
        <v>4.3599999999999994</v>
      </c>
      <c r="L10" s="5">
        <f>H24</f>
        <v>3.1399999999999997</v>
      </c>
      <c r="M10" s="5">
        <f>H24</f>
        <v>3.1399999999999997</v>
      </c>
      <c r="N10" s="5">
        <f t="shared" si="0"/>
        <v>10.639999999999999</v>
      </c>
      <c r="O10" s="19">
        <f t="shared" si="1"/>
        <v>3.5466666666666664</v>
      </c>
      <c r="Q10" s="15" t="s">
        <v>35</v>
      </c>
      <c r="R10" s="15">
        <f>SQRT(M22)/O13*100</f>
        <v>42.884064011998724</v>
      </c>
    </row>
    <row r="11" spans="1:21" x14ac:dyDescent="0.35">
      <c r="A11" s="1" t="s">
        <v>7</v>
      </c>
      <c r="B11" s="2">
        <v>6.6</v>
      </c>
      <c r="C11" s="2">
        <v>5.6</v>
      </c>
      <c r="D11" s="2">
        <v>5.2</v>
      </c>
      <c r="E11" s="2">
        <v>4.5999999999999996</v>
      </c>
      <c r="F11" s="4">
        <v>5</v>
      </c>
      <c r="G11" s="4">
        <f t="shared" si="2"/>
        <v>27</v>
      </c>
      <c r="H11" s="5">
        <f t="shared" si="3"/>
        <v>5.4</v>
      </c>
      <c r="J11" s="2" t="s">
        <v>9</v>
      </c>
      <c r="K11" s="5">
        <f>H13</f>
        <v>4.3199999999999994</v>
      </c>
      <c r="L11" s="5">
        <f>H19</f>
        <v>3.96</v>
      </c>
      <c r="M11" s="5">
        <f>H53</f>
        <v>12.060000000000002</v>
      </c>
      <c r="N11" s="5">
        <f t="shared" si="0"/>
        <v>20.340000000000003</v>
      </c>
      <c r="O11" s="19">
        <f t="shared" si="1"/>
        <v>6.7800000000000011</v>
      </c>
    </row>
    <row r="12" spans="1:21" x14ac:dyDescent="0.35">
      <c r="A12" s="1" t="s">
        <v>8</v>
      </c>
      <c r="B12" s="2">
        <v>3.3</v>
      </c>
      <c r="C12" s="2">
        <v>4.3</v>
      </c>
      <c r="D12" s="2">
        <v>3.1</v>
      </c>
      <c r="E12" s="2">
        <v>3.1</v>
      </c>
      <c r="F12" s="2">
        <v>4.7</v>
      </c>
      <c r="G12" s="2">
        <f t="shared" si="2"/>
        <v>18.5</v>
      </c>
      <c r="H12" s="5">
        <f t="shared" si="3"/>
        <v>3.7</v>
      </c>
      <c r="J12" s="2" t="s">
        <v>12</v>
      </c>
      <c r="K12" s="5">
        <f>SUM(K3:K11)</f>
        <v>37.46</v>
      </c>
      <c r="L12" s="5">
        <f t="shared" ref="L12:N12" si="5">SUM(L3:L11)</f>
        <v>30.56</v>
      </c>
      <c r="M12" s="5">
        <f t="shared" si="5"/>
        <v>38.92</v>
      </c>
      <c r="N12" s="20">
        <f t="shared" si="5"/>
        <v>106.94</v>
      </c>
      <c r="O12" s="19"/>
    </row>
    <row r="13" spans="1:21" x14ac:dyDescent="0.35">
      <c r="A13" s="1" t="s">
        <v>9</v>
      </c>
      <c r="B13" s="2">
        <v>3.8</v>
      </c>
      <c r="C13" s="2">
        <v>4.7</v>
      </c>
      <c r="D13" s="2">
        <v>4.5</v>
      </c>
      <c r="E13" s="2">
        <v>3.9</v>
      </c>
      <c r="F13" s="2">
        <v>4.7</v>
      </c>
      <c r="G13" s="2">
        <f t="shared" si="2"/>
        <v>21.599999999999998</v>
      </c>
      <c r="H13" s="2">
        <f>AVERAGE(B13:F13)</f>
        <v>4.3199999999999994</v>
      </c>
      <c r="J13" s="2" t="s">
        <v>13</v>
      </c>
      <c r="K13" s="19">
        <f>AVERAGE(K3:K11)</f>
        <v>4.1622222222222227</v>
      </c>
      <c r="L13" s="19">
        <f t="shared" ref="L13:M13" si="6">AVERAGE(L3:L11)</f>
        <v>3.3955555555555552</v>
      </c>
      <c r="M13" s="19">
        <f t="shared" si="6"/>
        <v>4.3244444444444445</v>
      </c>
      <c r="N13" s="19"/>
      <c r="O13" s="19">
        <f>AVERAGE(K3:M11)</f>
        <v>3.9607407407407411</v>
      </c>
    </row>
    <row r="14" spans="1:21" x14ac:dyDescent="0.35">
      <c r="A14" s="25"/>
      <c r="B14" s="25"/>
      <c r="C14" s="25"/>
      <c r="D14" s="25"/>
      <c r="E14" s="25"/>
      <c r="F14" s="25"/>
      <c r="G14" s="25"/>
      <c r="H14" s="25"/>
      <c r="J14" s="16"/>
    </row>
    <row r="15" spans="1:21" x14ac:dyDescent="0.35">
      <c r="A15" s="26" t="s">
        <v>0</v>
      </c>
      <c r="B15" s="27" t="s">
        <v>16</v>
      </c>
      <c r="C15" s="27"/>
      <c r="D15" s="27"/>
      <c r="E15" s="27"/>
      <c r="F15" s="27"/>
      <c r="G15" s="26" t="s">
        <v>12</v>
      </c>
      <c r="H15" s="26" t="s">
        <v>13</v>
      </c>
      <c r="J15" s="17" t="s">
        <v>36</v>
      </c>
      <c r="K15" s="9"/>
    </row>
    <row r="16" spans="1:21" x14ac:dyDescent="0.35">
      <c r="A16" s="26"/>
      <c r="B16" s="27" t="s">
        <v>11</v>
      </c>
      <c r="C16" s="27"/>
      <c r="D16" s="27"/>
      <c r="E16" s="27"/>
      <c r="F16" s="27"/>
      <c r="G16" s="26"/>
      <c r="H16" s="26"/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 t="s">
        <v>42</v>
      </c>
      <c r="P16" s="2" t="s">
        <v>43</v>
      </c>
    </row>
    <row r="17" spans="1:25" x14ac:dyDescent="0.35">
      <c r="A17" s="26"/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26"/>
      <c r="H17" s="26"/>
      <c r="J17" s="2" t="s">
        <v>44</v>
      </c>
      <c r="K17" s="6">
        <f>3-1</f>
        <v>2</v>
      </c>
      <c r="L17" s="10">
        <f>SUMSQ(K12:M12)/9-R9</f>
        <v>4.4307851851851865</v>
      </c>
      <c r="M17" s="10">
        <f t="shared" ref="M17:M22" si="7">L17/K17</f>
        <v>2.2153925925925932</v>
      </c>
      <c r="N17" s="10">
        <f>M17/M22</f>
        <v>0.76790235034944598</v>
      </c>
      <c r="O17" s="10">
        <f>FINV(5%,K17,K22)</f>
        <v>3.6337234675916301</v>
      </c>
      <c r="P17" s="2" t="str">
        <f>IF(N17&gt;O17,"*","NS")</f>
        <v>NS</v>
      </c>
    </row>
    <row r="18" spans="1:25" x14ac:dyDescent="0.35">
      <c r="A18" s="1" t="s">
        <v>6</v>
      </c>
      <c r="B18" s="2">
        <v>2.2999999999999998</v>
      </c>
      <c r="C18" s="2">
        <v>2.7</v>
      </c>
      <c r="D18" s="2">
        <v>4.5</v>
      </c>
      <c r="E18" s="4">
        <v>4.4000000000000004</v>
      </c>
      <c r="F18" s="2">
        <v>2.8</v>
      </c>
      <c r="G18" s="2">
        <f>SUM(B18:F18)</f>
        <v>16.7</v>
      </c>
      <c r="H18" s="2">
        <f>AVERAGE(B18:F18)</f>
        <v>3.34</v>
      </c>
      <c r="J18" s="2" t="s">
        <v>45</v>
      </c>
      <c r="K18" s="2">
        <f>9-1</f>
        <v>8</v>
      </c>
      <c r="L18" s="10">
        <f>SUMSQ(N3:N11)/3-R9</f>
        <v>28.294518518518601</v>
      </c>
      <c r="M18" s="10">
        <f t="shared" si="7"/>
        <v>3.5368148148148251</v>
      </c>
      <c r="N18" s="10">
        <f>M18/M22</f>
        <v>1.2259354924847394</v>
      </c>
      <c r="O18" s="10">
        <f>FINV(5%,K18,K22)</f>
        <v>2.5910961798744014</v>
      </c>
      <c r="P18" s="2" t="str">
        <f>IF(N18&gt;O18,"*","NS")</f>
        <v>NS</v>
      </c>
    </row>
    <row r="19" spans="1:25" x14ac:dyDescent="0.35">
      <c r="A19" s="1" t="s">
        <v>9</v>
      </c>
      <c r="B19" s="2">
        <v>3.2</v>
      </c>
      <c r="C19" s="2">
        <v>4.7</v>
      </c>
      <c r="D19" s="2">
        <v>3.4</v>
      </c>
      <c r="E19" s="2">
        <v>6.3</v>
      </c>
      <c r="F19" s="2">
        <v>2.2000000000000002</v>
      </c>
      <c r="G19" s="2">
        <f t="shared" ref="G19:G26" si="8">SUM(B19:F19)</f>
        <v>19.8</v>
      </c>
      <c r="H19" s="2">
        <f t="shared" ref="H19:H26" si="9">AVERAGE(B19:F19)</f>
        <v>3.96</v>
      </c>
      <c r="J19" s="2" t="s">
        <v>46</v>
      </c>
      <c r="K19" s="2">
        <f>3-1</f>
        <v>2</v>
      </c>
      <c r="L19" s="10">
        <f>SUMSQ(R7:T7)/9-R9</f>
        <v>7.2154962962963509</v>
      </c>
      <c r="M19" s="10">
        <f t="shared" si="7"/>
        <v>3.6077481481481755</v>
      </c>
      <c r="N19" s="10">
        <f>M19/M22</f>
        <v>1.2505224995763613</v>
      </c>
      <c r="O19" s="10">
        <f>FINV(5%,K19,K22)</f>
        <v>3.6337234675916301</v>
      </c>
      <c r="P19" s="2" t="str">
        <f>IF(N19&gt;O19,"*","NS")</f>
        <v>NS</v>
      </c>
    </row>
    <row r="20" spans="1:25" x14ac:dyDescent="0.35">
      <c r="A20" s="1" t="s">
        <v>8</v>
      </c>
      <c r="B20" s="2">
        <v>2.7</v>
      </c>
      <c r="C20" s="4">
        <v>3</v>
      </c>
      <c r="D20" s="2">
        <v>3.4</v>
      </c>
      <c r="E20" s="4">
        <v>4</v>
      </c>
      <c r="F20" s="2">
        <v>5.8</v>
      </c>
      <c r="G20" s="2">
        <f t="shared" si="8"/>
        <v>18.899999999999999</v>
      </c>
      <c r="H20" s="2">
        <f t="shared" si="9"/>
        <v>3.78</v>
      </c>
      <c r="J20" s="2" t="s">
        <v>53</v>
      </c>
      <c r="K20" s="2">
        <f>3-1</f>
        <v>2</v>
      </c>
      <c r="L20" s="10">
        <f>SUMSQ(U4:U6)/9-R9</f>
        <v>4.9735407407408161</v>
      </c>
      <c r="M20" s="10">
        <f t="shared" si="7"/>
        <v>2.486770370370408</v>
      </c>
      <c r="N20" s="10">
        <f>M20/M22</f>
        <v>0.86196767948567843</v>
      </c>
      <c r="O20" s="10">
        <f>FINV(5%,K20,K22)</f>
        <v>3.6337234675916301</v>
      </c>
      <c r="P20" s="2" t="str">
        <f>IF(N20&gt;O20,"*","NS")</f>
        <v>NS</v>
      </c>
      <c r="R20" s="33" t="s">
        <v>78</v>
      </c>
      <c r="S20" s="33"/>
      <c r="T20" s="33"/>
      <c r="U20" s="33"/>
      <c r="V20" s="33"/>
      <c r="W20" s="33"/>
      <c r="X20" s="33"/>
      <c r="Y20" s="33"/>
    </row>
    <row r="21" spans="1:25" x14ac:dyDescent="0.35">
      <c r="A21" s="1" t="s">
        <v>4</v>
      </c>
      <c r="B21" s="2">
        <v>4.4000000000000004</v>
      </c>
      <c r="C21" s="2">
        <v>3.6</v>
      </c>
      <c r="D21" s="2">
        <v>3.3</v>
      </c>
      <c r="E21" s="2">
        <v>4.3</v>
      </c>
      <c r="F21" s="2">
        <v>2.9</v>
      </c>
      <c r="G21" s="2">
        <f t="shared" si="8"/>
        <v>18.5</v>
      </c>
      <c r="H21" s="5">
        <f t="shared" si="9"/>
        <v>3.7</v>
      </c>
      <c r="J21" s="2" t="s">
        <v>54</v>
      </c>
      <c r="K21" s="2">
        <f>K19*K20</f>
        <v>4</v>
      </c>
      <c r="L21" s="10">
        <f>L18-L19-L20</f>
        <v>16.105481481481434</v>
      </c>
      <c r="M21" s="10">
        <f t="shared" si="7"/>
        <v>4.0263703703703584</v>
      </c>
      <c r="N21" s="10">
        <f>M21/M22</f>
        <v>1.3956258954384591</v>
      </c>
      <c r="O21" s="10">
        <f>FINV(5%,K21,K22)</f>
        <v>3.0069172799243447</v>
      </c>
      <c r="P21" s="2" t="str">
        <f>IF(N21&gt;O21,"*","NS")</f>
        <v>NS</v>
      </c>
    </row>
    <row r="22" spans="1:25" x14ac:dyDescent="0.35">
      <c r="A22" s="1" t="s">
        <v>3</v>
      </c>
      <c r="B22" s="2">
        <v>2.2999999999999998</v>
      </c>
      <c r="C22" s="2">
        <v>2.4</v>
      </c>
      <c r="D22" s="2">
        <v>1.9</v>
      </c>
      <c r="E22" s="4">
        <v>3.7</v>
      </c>
      <c r="F22" s="2">
        <v>2.8</v>
      </c>
      <c r="G22" s="2">
        <f t="shared" si="8"/>
        <v>13.100000000000001</v>
      </c>
      <c r="H22" s="2">
        <f t="shared" si="9"/>
        <v>2.62</v>
      </c>
      <c r="J22" s="2" t="s">
        <v>47</v>
      </c>
      <c r="K22" s="2">
        <f>K23-K18-K17</f>
        <v>16</v>
      </c>
      <c r="L22" s="10">
        <f>L23-L18-L17</f>
        <v>46.159881481481477</v>
      </c>
      <c r="M22" s="10">
        <f t="shared" si="7"/>
        <v>2.8849925925925923</v>
      </c>
      <c r="N22" s="18"/>
      <c r="O22" s="18"/>
      <c r="P22" s="6"/>
      <c r="Q22" s="6"/>
    </row>
    <row r="23" spans="1:25" x14ac:dyDescent="0.35">
      <c r="A23" s="1" t="s">
        <v>7</v>
      </c>
      <c r="B23" s="2">
        <v>2.8</v>
      </c>
      <c r="C23" s="2">
        <v>3.8</v>
      </c>
      <c r="D23" s="2">
        <v>4.8</v>
      </c>
      <c r="E23" s="4">
        <v>5</v>
      </c>
      <c r="F23" s="2">
        <v>3.2</v>
      </c>
      <c r="G23" s="2">
        <f t="shared" si="8"/>
        <v>19.599999999999998</v>
      </c>
      <c r="H23" s="2">
        <f t="shared" si="9"/>
        <v>3.9199999999999995</v>
      </c>
      <c r="J23" s="2" t="s">
        <v>48</v>
      </c>
      <c r="K23" s="2">
        <f>27-1</f>
        <v>26</v>
      </c>
      <c r="L23" s="10">
        <f>SUMSQ(K3:M11)-R9</f>
        <v>78.885185185185264</v>
      </c>
      <c r="M23" s="18"/>
      <c r="N23" s="18"/>
      <c r="O23" s="18"/>
      <c r="P23" s="6"/>
      <c r="Q23" s="6"/>
    </row>
    <row r="24" spans="1:25" x14ac:dyDescent="0.35">
      <c r="A24" s="1" t="s">
        <v>2</v>
      </c>
      <c r="B24" s="2">
        <v>3.1</v>
      </c>
      <c r="C24" s="2">
        <v>2.5</v>
      </c>
      <c r="D24" s="2">
        <v>3.7</v>
      </c>
      <c r="E24" s="2">
        <v>2.7</v>
      </c>
      <c r="F24" s="4">
        <v>3.7</v>
      </c>
      <c r="G24" s="2">
        <f t="shared" si="8"/>
        <v>15.7</v>
      </c>
      <c r="H24" s="5">
        <f t="shared" si="9"/>
        <v>3.1399999999999997</v>
      </c>
    </row>
    <row r="25" spans="1:25" x14ac:dyDescent="0.35">
      <c r="A25" s="1" t="s">
        <v>5</v>
      </c>
      <c r="B25" s="2">
        <v>2.5</v>
      </c>
      <c r="C25" s="2">
        <v>2.2000000000000002</v>
      </c>
      <c r="D25" s="2">
        <v>3.9</v>
      </c>
      <c r="E25" s="2">
        <v>3.1</v>
      </c>
      <c r="F25" s="2">
        <v>3.6</v>
      </c>
      <c r="G25" s="2">
        <f t="shared" si="8"/>
        <v>15.299999999999999</v>
      </c>
      <c r="H25" s="5">
        <f t="shared" si="9"/>
        <v>3.0599999999999996</v>
      </c>
    </row>
    <row r="26" spans="1:25" x14ac:dyDescent="0.35">
      <c r="A26" s="1" t="s">
        <v>1</v>
      </c>
      <c r="B26" s="2">
        <v>3.2</v>
      </c>
      <c r="C26" s="2">
        <v>2.8</v>
      </c>
      <c r="D26" s="2">
        <v>3.4</v>
      </c>
      <c r="E26" s="2">
        <v>2.9</v>
      </c>
      <c r="F26" s="2">
        <v>2.9</v>
      </c>
      <c r="G26" s="2">
        <f t="shared" si="8"/>
        <v>15.200000000000001</v>
      </c>
      <c r="H26" s="2">
        <f t="shared" si="9"/>
        <v>3.04</v>
      </c>
    </row>
    <row r="27" spans="1:25" x14ac:dyDescent="0.35">
      <c r="A27" s="25"/>
      <c r="B27" s="25"/>
      <c r="C27" s="25"/>
      <c r="D27" s="25"/>
      <c r="E27" s="25"/>
      <c r="F27" s="25"/>
      <c r="G27" s="25"/>
      <c r="H27" s="25"/>
    </row>
    <row r="28" spans="1:25" x14ac:dyDescent="0.35">
      <c r="A28" s="26" t="s">
        <v>0</v>
      </c>
      <c r="B28" s="27" t="s">
        <v>20</v>
      </c>
      <c r="C28" s="27"/>
      <c r="D28" s="27"/>
      <c r="E28" s="27"/>
      <c r="F28" s="27"/>
      <c r="G28" s="26" t="s">
        <v>12</v>
      </c>
      <c r="H28" s="26" t="s">
        <v>13</v>
      </c>
    </row>
    <row r="29" spans="1:25" x14ac:dyDescent="0.35">
      <c r="A29" s="26"/>
      <c r="B29" s="27" t="s">
        <v>11</v>
      </c>
      <c r="C29" s="27"/>
      <c r="D29" s="27"/>
      <c r="E29" s="27"/>
      <c r="F29" s="27"/>
      <c r="G29" s="26"/>
      <c r="H29" s="26"/>
    </row>
    <row r="30" spans="1:25" x14ac:dyDescent="0.35">
      <c r="A30" s="26"/>
      <c r="B30" s="3">
        <v>1</v>
      </c>
      <c r="C30" s="3">
        <v>2</v>
      </c>
      <c r="D30" s="3">
        <v>3</v>
      </c>
      <c r="E30" s="3">
        <v>4</v>
      </c>
      <c r="F30" s="3">
        <v>5</v>
      </c>
      <c r="G30" s="26"/>
      <c r="H30" s="26"/>
    </row>
    <row r="31" spans="1:25" x14ac:dyDescent="0.35">
      <c r="A31" s="1" t="s">
        <v>7</v>
      </c>
      <c r="B31" s="2">
        <v>3.5</v>
      </c>
      <c r="C31" s="2">
        <v>2.1</v>
      </c>
      <c r="D31" s="2">
        <v>2.7</v>
      </c>
      <c r="E31" s="4">
        <v>2.9</v>
      </c>
      <c r="F31" s="2">
        <v>2.9</v>
      </c>
      <c r="G31" s="2">
        <f>SUM(B31:F31)</f>
        <v>14.100000000000001</v>
      </c>
      <c r="H31" s="2">
        <f>AVERAGE(B31:F31)</f>
        <v>2.8200000000000003</v>
      </c>
    </row>
    <row r="32" spans="1:25" x14ac:dyDescent="0.35">
      <c r="A32" s="1" t="s">
        <v>9</v>
      </c>
      <c r="B32" s="2">
        <v>4.5</v>
      </c>
      <c r="C32" s="2">
        <v>3.5</v>
      </c>
      <c r="D32" s="4">
        <v>4</v>
      </c>
      <c r="E32" s="2">
        <v>2.7</v>
      </c>
      <c r="F32" s="2">
        <v>3.7</v>
      </c>
      <c r="G32" s="2">
        <f t="shared" ref="G32:G39" si="10">SUM(B32:F32)</f>
        <v>18.399999999999999</v>
      </c>
      <c r="H32" s="2">
        <f t="shared" ref="H32:H39" si="11">AVERAGE(B32:F32)</f>
        <v>3.6799999999999997</v>
      </c>
    </row>
    <row r="33" spans="1:21" x14ac:dyDescent="0.35">
      <c r="A33" s="1" t="s">
        <v>6</v>
      </c>
      <c r="B33" s="2">
        <v>3.7</v>
      </c>
      <c r="C33" s="2">
        <v>3.5</v>
      </c>
      <c r="D33" s="2">
        <v>4.5</v>
      </c>
      <c r="E33" s="2">
        <v>4.2</v>
      </c>
      <c r="F33" s="2">
        <v>3.7</v>
      </c>
      <c r="G33" s="2">
        <f t="shared" si="10"/>
        <v>19.599999999999998</v>
      </c>
      <c r="H33" s="2">
        <f t="shared" si="11"/>
        <v>3.9199999999999995</v>
      </c>
    </row>
    <row r="34" spans="1:21" x14ac:dyDescent="0.35">
      <c r="A34" s="1" t="s">
        <v>5</v>
      </c>
      <c r="B34" s="4">
        <v>4</v>
      </c>
      <c r="C34" s="2">
        <v>3.7</v>
      </c>
      <c r="D34" s="2">
        <v>4.0999999999999996</v>
      </c>
      <c r="E34" s="2">
        <v>3.8</v>
      </c>
      <c r="F34" s="2">
        <v>3.3</v>
      </c>
      <c r="G34" s="2">
        <f t="shared" si="10"/>
        <v>18.900000000000002</v>
      </c>
      <c r="H34" s="5">
        <f t="shared" si="11"/>
        <v>3.7800000000000002</v>
      </c>
    </row>
    <row r="35" spans="1:21" x14ac:dyDescent="0.35">
      <c r="A35" s="1" t="s">
        <v>8</v>
      </c>
      <c r="B35" s="2">
        <v>3.1</v>
      </c>
      <c r="C35" s="2">
        <v>3.2</v>
      </c>
      <c r="D35" s="2">
        <v>3.8</v>
      </c>
      <c r="E35" s="4">
        <v>3.5</v>
      </c>
      <c r="F35" s="2">
        <v>3.7</v>
      </c>
      <c r="G35" s="2">
        <f t="shared" si="10"/>
        <v>17.3</v>
      </c>
      <c r="H35" s="2">
        <f t="shared" si="11"/>
        <v>3.46</v>
      </c>
    </row>
    <row r="36" spans="1:21" x14ac:dyDescent="0.35">
      <c r="A36" s="1" t="s">
        <v>2</v>
      </c>
      <c r="B36" s="2">
        <v>3.6</v>
      </c>
      <c r="C36" s="2">
        <v>4.5</v>
      </c>
      <c r="D36" s="2">
        <v>3.4</v>
      </c>
      <c r="E36" s="2">
        <v>3.3</v>
      </c>
      <c r="F36" s="2">
        <v>3.7</v>
      </c>
      <c r="G36" s="2">
        <f t="shared" si="10"/>
        <v>18.5</v>
      </c>
      <c r="H36" s="5">
        <f t="shared" si="11"/>
        <v>3.7</v>
      </c>
    </row>
    <row r="37" spans="1:21" x14ac:dyDescent="0.35">
      <c r="A37" s="1" t="s">
        <v>3</v>
      </c>
      <c r="B37" s="2">
        <v>2.9</v>
      </c>
      <c r="C37" s="2">
        <v>3.1</v>
      </c>
      <c r="D37" s="2">
        <v>3.1</v>
      </c>
      <c r="E37" s="2">
        <v>2.8</v>
      </c>
      <c r="F37" s="4">
        <v>3.2</v>
      </c>
      <c r="G37" s="2">
        <f t="shared" si="10"/>
        <v>15.099999999999998</v>
      </c>
      <c r="H37" s="5">
        <f t="shared" si="11"/>
        <v>3.0199999999999996</v>
      </c>
    </row>
    <row r="38" spans="1:21" x14ac:dyDescent="0.35">
      <c r="A38" s="1" t="s">
        <v>4</v>
      </c>
      <c r="B38" s="2">
        <v>2.9</v>
      </c>
      <c r="C38" s="2">
        <v>2.4</v>
      </c>
      <c r="D38" s="2">
        <v>2.4</v>
      </c>
      <c r="E38" s="2">
        <v>2.1</v>
      </c>
      <c r="F38" s="2">
        <v>2.9</v>
      </c>
      <c r="G38" s="2">
        <f t="shared" si="10"/>
        <v>12.7</v>
      </c>
      <c r="H38" s="5">
        <f t="shared" si="11"/>
        <v>2.54</v>
      </c>
    </row>
    <row r="39" spans="1:21" x14ac:dyDescent="0.35">
      <c r="A39" s="1" t="s">
        <v>1</v>
      </c>
      <c r="B39" s="2">
        <v>3.6</v>
      </c>
      <c r="C39" s="2">
        <v>4.3</v>
      </c>
      <c r="D39" s="2">
        <v>3.4</v>
      </c>
      <c r="E39" s="2">
        <v>3.1</v>
      </c>
      <c r="F39" s="2">
        <v>3.1</v>
      </c>
      <c r="G39" s="2">
        <f t="shared" si="10"/>
        <v>17.5</v>
      </c>
      <c r="H39" s="5">
        <f t="shared" si="11"/>
        <v>3.5</v>
      </c>
    </row>
    <row r="41" spans="1:21" x14ac:dyDescent="0.35">
      <c r="A41" s="28" t="s">
        <v>15</v>
      </c>
      <c r="B41" s="28"/>
      <c r="C41" s="28"/>
      <c r="D41" s="28"/>
      <c r="E41" s="28"/>
      <c r="F41" s="28"/>
      <c r="G41" s="28"/>
      <c r="H41" s="28"/>
    </row>
    <row r="42" spans="1:21" x14ac:dyDescent="0.35">
      <c r="A42" s="26" t="s">
        <v>0</v>
      </c>
      <c r="B42" s="27" t="s">
        <v>10</v>
      </c>
      <c r="C42" s="27"/>
      <c r="D42" s="27"/>
      <c r="E42" s="27"/>
      <c r="F42" s="27"/>
      <c r="G42" s="26" t="s">
        <v>12</v>
      </c>
      <c r="H42" s="26" t="s">
        <v>13</v>
      </c>
      <c r="J42" s="2" t="s">
        <v>28</v>
      </c>
      <c r="K42" s="2" t="s">
        <v>10</v>
      </c>
      <c r="L42" s="2" t="s">
        <v>16</v>
      </c>
      <c r="M42" s="2" t="s">
        <v>20</v>
      </c>
      <c r="N42" s="2" t="s">
        <v>29</v>
      </c>
      <c r="O42" s="2" t="s">
        <v>30</v>
      </c>
      <c r="Q42" s="8" t="s">
        <v>31</v>
      </c>
      <c r="R42" s="9"/>
    </row>
    <row r="43" spans="1:21" x14ac:dyDescent="0.35">
      <c r="A43" s="26"/>
      <c r="B43" s="27" t="s">
        <v>11</v>
      </c>
      <c r="C43" s="27"/>
      <c r="D43" s="27"/>
      <c r="E43" s="27"/>
      <c r="F43" s="27"/>
      <c r="G43" s="26"/>
      <c r="H43" s="26"/>
      <c r="J43" s="2" t="s">
        <v>8</v>
      </c>
      <c r="K43" s="5">
        <f>H52</f>
        <v>12.3</v>
      </c>
      <c r="L43" s="5">
        <f>H60</f>
        <v>12.08</v>
      </c>
      <c r="M43" s="5">
        <f>H75</f>
        <v>8.8859999999999992</v>
      </c>
      <c r="N43" s="5">
        <f>SUM(K43:M43)</f>
        <v>33.266000000000005</v>
      </c>
      <c r="O43" s="19">
        <f>AVERAGE(K43:M43)</f>
        <v>11.088666666666668</v>
      </c>
      <c r="Q43" s="12"/>
      <c r="R43" s="12" t="s">
        <v>32</v>
      </c>
      <c r="S43" s="12" t="s">
        <v>33</v>
      </c>
      <c r="T43" s="12" t="s">
        <v>49</v>
      </c>
      <c r="U43" s="12" t="s">
        <v>29</v>
      </c>
    </row>
    <row r="44" spans="1:21" x14ac:dyDescent="0.35">
      <c r="A44" s="26"/>
      <c r="B44" s="3">
        <v>1</v>
      </c>
      <c r="C44" s="3">
        <v>2</v>
      </c>
      <c r="D44" s="3">
        <v>3</v>
      </c>
      <c r="E44" s="3">
        <v>4</v>
      </c>
      <c r="F44" s="3">
        <v>5</v>
      </c>
      <c r="G44" s="26"/>
      <c r="H44" s="26"/>
      <c r="J44" s="2" t="s">
        <v>6</v>
      </c>
      <c r="K44" s="5">
        <f>H50</f>
        <v>13.3</v>
      </c>
      <c r="L44" s="5">
        <f>H58</f>
        <v>11.919999999999998</v>
      </c>
      <c r="M44" s="5">
        <f>H73</f>
        <v>10.078000000000001</v>
      </c>
      <c r="N44" s="5">
        <f t="shared" ref="N44:N51" si="12">SUM(K44:M44)</f>
        <v>35.298000000000002</v>
      </c>
      <c r="O44" s="19">
        <f t="shared" ref="O44:O51" si="13">AVERAGE(K44:M44)</f>
        <v>11.766</v>
      </c>
      <c r="Q44" s="12" t="s">
        <v>50</v>
      </c>
      <c r="R44" s="11">
        <f>N43</f>
        <v>33.266000000000005</v>
      </c>
      <c r="S44" s="11">
        <f>N46</f>
        <v>33.316000000000003</v>
      </c>
      <c r="T44" s="11">
        <f>N49</f>
        <v>34.136000000000003</v>
      </c>
      <c r="U44" s="11">
        <f>SUM(R44:T44)</f>
        <v>100.71800000000002</v>
      </c>
    </row>
    <row r="45" spans="1:21" x14ac:dyDescent="0.35">
      <c r="A45" s="1" t="s">
        <v>1</v>
      </c>
      <c r="B45" s="2">
        <v>13.4</v>
      </c>
      <c r="C45" s="2">
        <v>10.3</v>
      </c>
      <c r="D45" s="2">
        <v>13.9</v>
      </c>
      <c r="E45" s="4">
        <v>12.6</v>
      </c>
      <c r="F45" s="2">
        <v>13.2</v>
      </c>
      <c r="G45" s="2">
        <f>SUM(B45:F45)</f>
        <v>63.400000000000006</v>
      </c>
      <c r="H45" s="2">
        <f>AVERAGE(B45:F45)</f>
        <v>12.680000000000001</v>
      </c>
      <c r="J45" s="2" t="s">
        <v>5</v>
      </c>
      <c r="K45" s="5">
        <f>H49</f>
        <v>13.246</v>
      </c>
      <c r="L45" s="5">
        <f>H65</f>
        <v>11.12</v>
      </c>
      <c r="M45" s="5">
        <f>H74</f>
        <v>9.4939999999999998</v>
      </c>
      <c r="N45" s="5">
        <f t="shared" si="12"/>
        <v>33.86</v>
      </c>
      <c r="O45" s="19">
        <f t="shared" si="13"/>
        <v>11.286666666666667</v>
      </c>
      <c r="Q45" s="12" t="s">
        <v>51</v>
      </c>
      <c r="R45" s="11">
        <f>N44</f>
        <v>35.298000000000002</v>
      </c>
      <c r="S45" s="11">
        <f>N47</f>
        <v>34.935000000000002</v>
      </c>
      <c r="T45" s="11">
        <f>N50</f>
        <v>31.533999999999999</v>
      </c>
      <c r="U45" s="11">
        <f>SUM(R45:T45)</f>
        <v>101.767</v>
      </c>
    </row>
    <row r="46" spans="1:21" x14ac:dyDescent="0.35">
      <c r="A46" s="1" t="s">
        <v>2</v>
      </c>
      <c r="B46" s="2">
        <v>10.199999999999999</v>
      </c>
      <c r="C46" s="2">
        <v>14</v>
      </c>
      <c r="D46" s="2">
        <v>13.2</v>
      </c>
      <c r="E46" s="2">
        <v>10.7</v>
      </c>
      <c r="F46" s="2">
        <v>11.2</v>
      </c>
      <c r="G46" s="2">
        <f t="shared" ref="G46:G53" si="14">SUM(B46:F46)</f>
        <v>59.3</v>
      </c>
      <c r="H46" s="2">
        <f t="shared" ref="H46:H53" si="15">AVERAGE(B46:F46)</f>
        <v>11.86</v>
      </c>
      <c r="J46" s="2" t="s">
        <v>3</v>
      </c>
      <c r="K46" s="5">
        <f>H47</f>
        <v>11.52</v>
      </c>
      <c r="L46" s="5">
        <f>H62</f>
        <v>10.34</v>
      </c>
      <c r="M46" s="5">
        <f>H77</f>
        <v>11.456</v>
      </c>
      <c r="N46" s="5">
        <f t="shared" si="12"/>
        <v>33.316000000000003</v>
      </c>
      <c r="O46" s="19">
        <f t="shared" si="13"/>
        <v>11.105333333333334</v>
      </c>
      <c r="Q46" s="12" t="s">
        <v>52</v>
      </c>
      <c r="R46" s="11">
        <f>N45</f>
        <v>33.86</v>
      </c>
      <c r="S46" s="11">
        <f>N48</f>
        <v>33.385999999999996</v>
      </c>
      <c r="T46" s="11">
        <f>N51</f>
        <v>33.072000000000003</v>
      </c>
      <c r="U46" s="11">
        <f>SUM(R46:T46)</f>
        <v>100.318</v>
      </c>
    </row>
    <row r="47" spans="1:21" x14ac:dyDescent="0.35">
      <c r="A47" s="1" t="s">
        <v>3</v>
      </c>
      <c r="B47" s="4">
        <v>9.6</v>
      </c>
      <c r="C47" s="2">
        <v>13.4</v>
      </c>
      <c r="D47" s="2">
        <v>10.7</v>
      </c>
      <c r="E47" s="2">
        <v>12.4</v>
      </c>
      <c r="F47" s="2">
        <v>11.5</v>
      </c>
      <c r="G47" s="2">
        <f t="shared" si="14"/>
        <v>57.6</v>
      </c>
      <c r="H47" s="2">
        <f t="shared" si="15"/>
        <v>11.52</v>
      </c>
      <c r="J47" s="2" t="s">
        <v>7</v>
      </c>
      <c r="K47" s="5">
        <f>H51</f>
        <v>12.819999999999999</v>
      </c>
      <c r="L47" s="5">
        <f>H63</f>
        <v>12.459999999999999</v>
      </c>
      <c r="M47" s="5">
        <f>H71</f>
        <v>9.6550000000000011</v>
      </c>
      <c r="N47" s="5">
        <f t="shared" si="12"/>
        <v>34.935000000000002</v>
      </c>
      <c r="O47" s="19">
        <f t="shared" si="13"/>
        <v>11.645000000000001</v>
      </c>
      <c r="Q47" s="12" t="s">
        <v>29</v>
      </c>
      <c r="R47" s="11">
        <f>SUM(R44:R46)</f>
        <v>102.42400000000001</v>
      </c>
      <c r="S47" s="11">
        <f t="shared" ref="S47:U47" si="16">SUM(S44:S46)</f>
        <v>101.637</v>
      </c>
      <c r="T47" s="11">
        <f t="shared" si="16"/>
        <v>98.742000000000004</v>
      </c>
      <c r="U47" s="13">
        <f t="shared" si="16"/>
        <v>302.803</v>
      </c>
    </row>
    <row r="48" spans="1:21" x14ac:dyDescent="0.35">
      <c r="A48" s="1" t="s">
        <v>4</v>
      </c>
      <c r="B48" s="4">
        <v>10</v>
      </c>
      <c r="C48" s="2">
        <v>12.7</v>
      </c>
      <c r="D48" s="2">
        <v>10.6</v>
      </c>
      <c r="E48" s="2">
        <v>13.4</v>
      </c>
      <c r="F48" s="2">
        <v>11.5</v>
      </c>
      <c r="G48" s="4">
        <f t="shared" si="14"/>
        <v>58.199999999999996</v>
      </c>
      <c r="H48" s="5">
        <f t="shared" si="15"/>
        <v>11.639999999999999</v>
      </c>
      <c r="J48" s="2" t="s">
        <v>4</v>
      </c>
      <c r="K48" s="5">
        <f>H48</f>
        <v>11.639999999999999</v>
      </c>
      <c r="L48" s="5">
        <f>H61</f>
        <v>11.779999999999998</v>
      </c>
      <c r="M48" s="5">
        <f>H78</f>
        <v>9.9659999999999993</v>
      </c>
      <c r="N48" s="5">
        <f t="shared" si="12"/>
        <v>33.385999999999996</v>
      </c>
      <c r="O48" s="19">
        <f t="shared" si="13"/>
        <v>11.128666666666666</v>
      </c>
    </row>
    <row r="49" spans="1:25" x14ac:dyDescent="0.35">
      <c r="A49" s="1" t="s">
        <v>5</v>
      </c>
      <c r="B49" s="2">
        <v>15.36</v>
      </c>
      <c r="C49" s="2">
        <v>14.47</v>
      </c>
      <c r="D49" s="2">
        <v>12.6</v>
      </c>
      <c r="E49" s="4">
        <v>12.3</v>
      </c>
      <c r="F49" s="2">
        <v>11.5</v>
      </c>
      <c r="G49" s="4">
        <f t="shared" si="14"/>
        <v>66.23</v>
      </c>
      <c r="H49" s="5">
        <f>AVERAGE(B49:F49)</f>
        <v>13.246</v>
      </c>
      <c r="J49" s="2" t="s">
        <v>1</v>
      </c>
      <c r="K49" s="5">
        <f>H45</f>
        <v>12.680000000000001</v>
      </c>
      <c r="L49" s="5">
        <f>H66</f>
        <v>11.74</v>
      </c>
      <c r="M49" s="5">
        <f>H79</f>
        <v>9.7159999999999993</v>
      </c>
      <c r="N49" s="5">
        <f t="shared" si="12"/>
        <v>34.136000000000003</v>
      </c>
      <c r="O49" s="19">
        <f t="shared" si="13"/>
        <v>11.378666666666668</v>
      </c>
      <c r="Q49" s="14" t="s">
        <v>34</v>
      </c>
      <c r="R49" s="14">
        <f>U47^2/27</f>
        <v>3395.9132151481481</v>
      </c>
    </row>
    <row r="50" spans="1:25" x14ac:dyDescent="0.35">
      <c r="A50" s="1" t="s">
        <v>6</v>
      </c>
      <c r="B50" s="2">
        <v>15.8</v>
      </c>
      <c r="C50" s="2">
        <v>13.7</v>
      </c>
      <c r="D50" s="2">
        <v>13.3</v>
      </c>
      <c r="E50" s="2">
        <v>11.4</v>
      </c>
      <c r="F50" s="2">
        <v>12.3</v>
      </c>
      <c r="G50" s="2">
        <f t="shared" si="14"/>
        <v>66.5</v>
      </c>
      <c r="H50" s="2">
        <f t="shared" si="15"/>
        <v>13.3</v>
      </c>
      <c r="J50" s="2" t="s">
        <v>2</v>
      </c>
      <c r="K50" s="5">
        <f>H46</f>
        <v>11.86</v>
      </c>
      <c r="L50" s="5">
        <f>H64</f>
        <v>10.66</v>
      </c>
      <c r="M50" s="5">
        <f>H76</f>
        <v>9.0139999999999993</v>
      </c>
      <c r="N50" s="5">
        <f t="shared" si="12"/>
        <v>31.533999999999999</v>
      </c>
      <c r="O50" s="19">
        <f t="shared" si="13"/>
        <v>10.511333333333333</v>
      </c>
      <c r="Q50" s="15" t="s">
        <v>35</v>
      </c>
      <c r="R50" s="15">
        <f>SQRT(M62)/O53*100</f>
        <v>6.6028788994307375</v>
      </c>
    </row>
    <row r="51" spans="1:25" x14ac:dyDescent="0.35">
      <c r="A51" s="1" t="s">
        <v>7</v>
      </c>
      <c r="B51" s="2">
        <v>12.9</v>
      </c>
      <c r="C51" s="2">
        <v>14.9</v>
      </c>
      <c r="D51" s="2">
        <v>12.3</v>
      </c>
      <c r="E51" s="2">
        <v>12.9</v>
      </c>
      <c r="F51" s="4">
        <v>11.1</v>
      </c>
      <c r="G51" s="4">
        <f t="shared" si="14"/>
        <v>64.099999999999994</v>
      </c>
      <c r="H51" s="5">
        <f t="shared" si="15"/>
        <v>12.819999999999999</v>
      </c>
      <c r="J51" s="2" t="s">
        <v>9</v>
      </c>
      <c r="K51" s="5">
        <f>H53</f>
        <v>12.060000000000002</v>
      </c>
      <c r="L51" s="5">
        <f>H59</f>
        <v>11.760000000000002</v>
      </c>
      <c r="M51" s="5">
        <f>H72</f>
        <v>9.2519999999999989</v>
      </c>
      <c r="N51" s="5">
        <f t="shared" si="12"/>
        <v>33.072000000000003</v>
      </c>
      <c r="O51" s="19">
        <f t="shared" si="13"/>
        <v>11.024000000000001</v>
      </c>
    </row>
    <row r="52" spans="1:25" x14ac:dyDescent="0.35">
      <c r="A52" s="1" t="s">
        <v>8</v>
      </c>
      <c r="B52" s="2">
        <v>10.199999999999999</v>
      </c>
      <c r="C52" s="2">
        <v>14.1</v>
      </c>
      <c r="D52" s="2">
        <v>11.5</v>
      </c>
      <c r="E52" s="2">
        <v>13.4</v>
      </c>
      <c r="F52" s="2">
        <v>12.3</v>
      </c>
      <c r="G52" s="2">
        <f t="shared" si="14"/>
        <v>61.5</v>
      </c>
      <c r="H52" s="5">
        <f t="shared" si="15"/>
        <v>12.3</v>
      </c>
      <c r="J52" s="2" t="s">
        <v>12</v>
      </c>
      <c r="K52" s="5">
        <f>SUM(K43:K51)</f>
        <v>111.426</v>
      </c>
      <c r="L52" s="5">
        <f t="shared" ref="L52:N52" si="17">SUM(L43:L51)</f>
        <v>103.85999999999999</v>
      </c>
      <c r="M52" s="5">
        <f t="shared" si="17"/>
        <v>87.516999999999996</v>
      </c>
      <c r="N52" s="20">
        <f t="shared" si="17"/>
        <v>302.803</v>
      </c>
      <c r="O52" s="19"/>
    </row>
    <row r="53" spans="1:25" x14ac:dyDescent="0.35">
      <c r="A53" s="1" t="s">
        <v>9</v>
      </c>
      <c r="B53" s="2">
        <v>12.1</v>
      </c>
      <c r="C53" s="2">
        <v>12.5</v>
      </c>
      <c r="D53" s="2">
        <v>11.8</v>
      </c>
      <c r="E53" s="2">
        <v>12.2</v>
      </c>
      <c r="F53" s="2">
        <v>11.7</v>
      </c>
      <c r="G53" s="2">
        <f t="shared" si="14"/>
        <v>60.300000000000011</v>
      </c>
      <c r="H53" s="2">
        <f t="shared" si="15"/>
        <v>12.060000000000002</v>
      </c>
      <c r="J53" s="2" t="s">
        <v>13</v>
      </c>
      <c r="K53" s="19">
        <f>AVERAGE(K43:K51)</f>
        <v>12.380666666666666</v>
      </c>
      <c r="L53" s="19">
        <f t="shared" ref="L53:M53" si="18">AVERAGE(L43:L51)</f>
        <v>11.54</v>
      </c>
      <c r="M53" s="19">
        <f t="shared" si="18"/>
        <v>9.7241111111111103</v>
      </c>
      <c r="N53" s="19"/>
      <c r="O53" s="19">
        <f>AVERAGE(K43:M51)</f>
        <v>11.214925925925927</v>
      </c>
    </row>
    <row r="54" spans="1:25" x14ac:dyDescent="0.35">
      <c r="A54" s="25"/>
      <c r="B54" s="25"/>
      <c r="C54" s="25"/>
      <c r="D54" s="25"/>
      <c r="E54" s="25"/>
      <c r="F54" s="25"/>
      <c r="G54" s="25"/>
      <c r="H54" s="25"/>
      <c r="J54" s="16"/>
    </row>
    <row r="55" spans="1:25" x14ac:dyDescent="0.35">
      <c r="A55" s="26" t="s">
        <v>0</v>
      </c>
      <c r="B55" s="27" t="s">
        <v>16</v>
      </c>
      <c r="C55" s="27"/>
      <c r="D55" s="27"/>
      <c r="E55" s="27"/>
      <c r="F55" s="27"/>
      <c r="G55" s="26" t="s">
        <v>12</v>
      </c>
      <c r="H55" s="26" t="s">
        <v>13</v>
      </c>
      <c r="J55" s="17" t="s">
        <v>36</v>
      </c>
      <c r="K55" s="9"/>
    </row>
    <row r="56" spans="1:25" x14ac:dyDescent="0.35">
      <c r="A56" s="26"/>
      <c r="B56" s="27" t="s">
        <v>11</v>
      </c>
      <c r="C56" s="27"/>
      <c r="D56" s="27"/>
      <c r="E56" s="27"/>
      <c r="F56" s="27"/>
      <c r="G56" s="26"/>
      <c r="H56" s="26"/>
      <c r="J56" s="2" t="s">
        <v>37</v>
      </c>
      <c r="K56" s="2" t="s">
        <v>38</v>
      </c>
      <c r="L56" s="2" t="s">
        <v>39</v>
      </c>
      <c r="M56" s="2" t="s">
        <v>40</v>
      </c>
      <c r="N56" s="2" t="s">
        <v>41</v>
      </c>
      <c r="O56" s="2" t="s">
        <v>42</v>
      </c>
      <c r="P56" s="2" t="s">
        <v>43</v>
      </c>
    </row>
    <row r="57" spans="1:25" x14ac:dyDescent="0.35">
      <c r="A57" s="26"/>
      <c r="B57" s="3">
        <v>1</v>
      </c>
      <c r="C57" s="3">
        <v>2</v>
      </c>
      <c r="D57" s="3">
        <v>3</v>
      </c>
      <c r="E57" s="3">
        <v>4</v>
      </c>
      <c r="F57" s="3">
        <v>5</v>
      </c>
      <c r="G57" s="26"/>
      <c r="H57" s="26"/>
      <c r="J57" s="2" t="s">
        <v>44</v>
      </c>
      <c r="K57" s="6">
        <f>3-1</f>
        <v>2</v>
      </c>
      <c r="L57" s="10">
        <f>SUMSQ(K52:M52)/9-R49</f>
        <v>33.184380962962223</v>
      </c>
      <c r="M57" s="10">
        <f t="shared" ref="M57:M62" si="19">L57/K57</f>
        <v>16.592190481481111</v>
      </c>
      <c r="N57" s="10">
        <f>M57/M62</f>
        <v>30.258280302243953</v>
      </c>
      <c r="O57" s="10">
        <f>FINV(5%,K57,K62)</f>
        <v>3.6337234675916301</v>
      </c>
      <c r="P57" s="2" t="str">
        <f>IF(N57&gt;O57,"*","NS")</f>
        <v>*</v>
      </c>
    </row>
    <row r="58" spans="1:25" x14ac:dyDescent="0.35">
      <c r="A58" s="1" t="s">
        <v>6</v>
      </c>
      <c r="B58" s="2">
        <v>12.2</v>
      </c>
      <c r="C58" s="2">
        <v>13</v>
      </c>
      <c r="D58" s="2">
        <v>12.6</v>
      </c>
      <c r="E58" s="4">
        <v>11.8</v>
      </c>
      <c r="F58" s="2">
        <v>10</v>
      </c>
      <c r="G58" s="2">
        <f>SUM(B58:F58)</f>
        <v>59.599999999999994</v>
      </c>
      <c r="H58" s="2">
        <f>AVERAGE(B58:F58)</f>
        <v>11.919999999999998</v>
      </c>
      <c r="J58" s="2" t="s">
        <v>45</v>
      </c>
      <c r="K58" s="2">
        <f>9-1</f>
        <v>8</v>
      </c>
      <c r="L58" s="10">
        <f>SUMSQ(N43:N51)/3-R49</f>
        <v>3.2624758518522867</v>
      </c>
      <c r="M58" s="10">
        <f t="shared" si="19"/>
        <v>0.40780948148153584</v>
      </c>
      <c r="N58" s="10">
        <f>M58/M62</f>
        <v>0.74370009278482996</v>
      </c>
      <c r="O58" s="10">
        <f>FINV(5%,K58,K62)</f>
        <v>2.5910961798744014</v>
      </c>
      <c r="P58" s="2" t="str">
        <f>IF(N58&gt;O58,"*","NS")</f>
        <v>NS</v>
      </c>
    </row>
    <row r="59" spans="1:25" x14ac:dyDescent="0.35">
      <c r="A59" s="1" t="s">
        <v>9</v>
      </c>
      <c r="B59" s="2">
        <v>10.6</v>
      </c>
      <c r="C59" s="2">
        <v>11.5</v>
      </c>
      <c r="D59" s="2">
        <v>13.3</v>
      </c>
      <c r="E59" s="2">
        <v>12</v>
      </c>
      <c r="F59" s="2">
        <v>11.4</v>
      </c>
      <c r="G59" s="2">
        <f t="shared" ref="G59:G66" si="20">SUM(B59:F59)</f>
        <v>58.800000000000004</v>
      </c>
      <c r="H59" s="2">
        <f t="shared" ref="H59:H66" si="21">AVERAGE(B59:F59)</f>
        <v>11.760000000000002</v>
      </c>
      <c r="J59" s="2" t="s">
        <v>46</v>
      </c>
      <c r="K59" s="2">
        <f>3-1</f>
        <v>2</v>
      </c>
      <c r="L59" s="10">
        <f>SUMSQ(R47:T47)/9-R49</f>
        <v>0.83546362962988496</v>
      </c>
      <c r="M59" s="10">
        <f t="shared" si="19"/>
        <v>0.41773181481494248</v>
      </c>
      <c r="N59" s="10">
        <f>M59/M62</f>
        <v>0.76179491538161814</v>
      </c>
      <c r="O59" s="10">
        <f>FINV(5%,K59,K62)</f>
        <v>3.6337234675916301</v>
      </c>
      <c r="P59" s="2" t="str">
        <f>IF(N59&gt;O59,"*","NS")</f>
        <v>NS</v>
      </c>
    </row>
    <row r="60" spans="1:25" x14ac:dyDescent="0.35">
      <c r="A60" s="1" t="s">
        <v>8</v>
      </c>
      <c r="B60" s="2">
        <v>11</v>
      </c>
      <c r="C60" s="4">
        <v>14.4</v>
      </c>
      <c r="D60" s="2">
        <v>10.4</v>
      </c>
      <c r="E60" s="4">
        <v>10.6</v>
      </c>
      <c r="F60" s="2">
        <v>14</v>
      </c>
      <c r="G60" s="2">
        <f t="shared" si="20"/>
        <v>60.4</v>
      </c>
      <c r="H60" s="2">
        <f t="shared" si="21"/>
        <v>12.08</v>
      </c>
      <c r="J60" s="2" t="s">
        <v>53</v>
      </c>
      <c r="K60" s="2">
        <f>3-1</f>
        <v>2</v>
      </c>
      <c r="L60" s="10">
        <f>SUMSQ(U44:U46)/9-R49</f>
        <v>0.12444451851843041</v>
      </c>
      <c r="M60" s="10">
        <f t="shared" si="19"/>
        <v>6.2222259259215207E-2</v>
      </c>
      <c r="N60" s="10">
        <f>M60/M62</f>
        <v>0.11347136858183925</v>
      </c>
      <c r="O60" s="10">
        <f>FINV(5%,K60,K62)</f>
        <v>3.6337234675916301</v>
      </c>
      <c r="P60" s="2" t="str">
        <f>IF(N60&gt;O60,"*","NS")</f>
        <v>NS</v>
      </c>
      <c r="R60" s="33" t="s">
        <v>78</v>
      </c>
      <c r="S60" s="33"/>
      <c r="T60" s="33"/>
      <c r="U60" s="33"/>
      <c r="V60" s="33"/>
      <c r="W60" s="33"/>
      <c r="X60" s="33"/>
      <c r="Y60" s="33"/>
    </row>
    <row r="61" spans="1:25" x14ac:dyDescent="0.35">
      <c r="A61" s="1" t="s">
        <v>4</v>
      </c>
      <c r="B61" s="2">
        <v>11</v>
      </c>
      <c r="C61" s="2">
        <v>10</v>
      </c>
      <c r="D61" s="2">
        <v>12.3</v>
      </c>
      <c r="E61" s="2">
        <v>11.9</v>
      </c>
      <c r="F61" s="2">
        <v>13.7</v>
      </c>
      <c r="G61" s="2">
        <f t="shared" si="20"/>
        <v>58.899999999999991</v>
      </c>
      <c r="H61" s="5">
        <f t="shared" si="21"/>
        <v>11.779999999999998</v>
      </c>
      <c r="J61" s="2" t="s">
        <v>54</v>
      </c>
      <c r="K61" s="2">
        <f>K59*K60</f>
        <v>4</v>
      </c>
      <c r="L61" s="10">
        <f>L58-L59-L60</f>
        <v>2.3025677037039713</v>
      </c>
      <c r="M61" s="10">
        <f t="shared" si="19"/>
        <v>0.57564192592599284</v>
      </c>
      <c r="N61" s="10">
        <f>M61/M62</f>
        <v>1.0497670435879314</v>
      </c>
      <c r="O61" s="10">
        <f>FINV(5%,K61,K62)</f>
        <v>3.0069172799243447</v>
      </c>
      <c r="P61" s="2" t="str">
        <f>IF(N61&gt;O61,"*","NS")</f>
        <v>NS</v>
      </c>
    </row>
    <row r="62" spans="1:25" x14ac:dyDescent="0.35">
      <c r="A62" s="1" t="s">
        <v>3</v>
      </c>
      <c r="B62" s="2">
        <v>9.6999999999999993</v>
      </c>
      <c r="C62" s="2">
        <v>11.1</v>
      </c>
      <c r="D62" s="2">
        <v>10.1</v>
      </c>
      <c r="E62" s="4">
        <v>11</v>
      </c>
      <c r="F62" s="2">
        <v>9.8000000000000007</v>
      </c>
      <c r="G62" s="2">
        <f t="shared" si="20"/>
        <v>51.7</v>
      </c>
      <c r="H62" s="2">
        <f t="shared" si="21"/>
        <v>10.34</v>
      </c>
      <c r="J62" s="2" t="s">
        <v>47</v>
      </c>
      <c r="K62" s="2">
        <f>K63-K58-K57</f>
        <v>16</v>
      </c>
      <c r="L62" s="10">
        <f>L63-L58-L57</f>
        <v>8.7736330370371434</v>
      </c>
      <c r="M62" s="10">
        <f t="shared" si="19"/>
        <v>0.54835206481482146</v>
      </c>
      <c r="N62" s="18"/>
      <c r="O62" s="18"/>
      <c r="P62" s="6"/>
      <c r="Q62" s="6"/>
    </row>
    <row r="63" spans="1:25" x14ac:dyDescent="0.35">
      <c r="A63" s="1" t="s">
        <v>7</v>
      </c>
      <c r="B63" s="2">
        <v>11.5</v>
      </c>
      <c r="C63" s="2">
        <v>13</v>
      </c>
      <c r="D63" s="2">
        <v>10.4</v>
      </c>
      <c r="E63" s="4">
        <v>14.2</v>
      </c>
      <c r="F63" s="2">
        <v>13.2</v>
      </c>
      <c r="G63" s="2">
        <f t="shared" si="20"/>
        <v>62.3</v>
      </c>
      <c r="H63" s="2">
        <f t="shared" si="21"/>
        <v>12.459999999999999</v>
      </c>
      <c r="J63" s="2" t="s">
        <v>48</v>
      </c>
      <c r="K63" s="2">
        <f>27-1</f>
        <v>26</v>
      </c>
      <c r="L63" s="10">
        <f>SUMSQ(K43:M51)-R49</f>
        <v>45.220489851851653</v>
      </c>
      <c r="M63" s="18"/>
      <c r="N63" s="18"/>
      <c r="O63" s="18"/>
      <c r="P63" s="6"/>
      <c r="Q63" s="6"/>
    </row>
    <row r="64" spans="1:25" x14ac:dyDescent="0.35">
      <c r="A64" s="1" t="s">
        <v>2</v>
      </c>
      <c r="B64" s="2">
        <v>12</v>
      </c>
      <c r="C64" s="2">
        <v>10.199999999999999</v>
      </c>
      <c r="D64" s="2">
        <v>10.3</v>
      </c>
      <c r="E64" s="2">
        <v>9.5</v>
      </c>
      <c r="F64" s="4">
        <v>11.3</v>
      </c>
      <c r="G64" s="2">
        <f t="shared" si="20"/>
        <v>53.3</v>
      </c>
      <c r="H64" s="5">
        <f t="shared" si="21"/>
        <v>10.66</v>
      </c>
    </row>
    <row r="65" spans="1:8" x14ac:dyDescent="0.35">
      <c r="A65" s="1" t="s">
        <v>5</v>
      </c>
      <c r="B65" s="2">
        <v>9.8000000000000007</v>
      </c>
      <c r="C65" s="2">
        <v>11</v>
      </c>
      <c r="D65" s="2">
        <v>11.1</v>
      </c>
      <c r="E65" s="2">
        <v>11</v>
      </c>
      <c r="F65" s="2">
        <v>12.7</v>
      </c>
      <c r="G65" s="2">
        <f t="shared" si="20"/>
        <v>55.599999999999994</v>
      </c>
      <c r="H65" s="5">
        <f t="shared" si="21"/>
        <v>11.12</v>
      </c>
    </row>
    <row r="66" spans="1:8" x14ac:dyDescent="0.35">
      <c r="A66" s="1" t="s">
        <v>1</v>
      </c>
      <c r="B66" s="2">
        <v>11.3</v>
      </c>
      <c r="C66" s="2">
        <v>10.9</v>
      </c>
      <c r="D66" s="2">
        <v>13.1</v>
      </c>
      <c r="E66" s="2">
        <v>12.5</v>
      </c>
      <c r="F66" s="2">
        <v>10.9</v>
      </c>
      <c r="G66" s="2">
        <f t="shared" si="20"/>
        <v>58.7</v>
      </c>
      <c r="H66" s="2">
        <f t="shared" si="21"/>
        <v>11.74</v>
      </c>
    </row>
    <row r="67" spans="1:8" x14ac:dyDescent="0.35">
      <c r="A67" s="25"/>
      <c r="B67" s="25"/>
      <c r="C67" s="25"/>
      <c r="D67" s="25"/>
      <c r="E67" s="25"/>
      <c r="F67" s="25"/>
      <c r="G67" s="25"/>
      <c r="H67" s="25"/>
    </row>
    <row r="68" spans="1:8" x14ac:dyDescent="0.35">
      <c r="A68" s="26" t="s">
        <v>0</v>
      </c>
      <c r="B68" s="27" t="s">
        <v>20</v>
      </c>
      <c r="C68" s="27"/>
      <c r="D68" s="27"/>
      <c r="E68" s="27"/>
      <c r="F68" s="27"/>
      <c r="G68" s="26" t="s">
        <v>12</v>
      </c>
      <c r="H68" s="26" t="s">
        <v>13</v>
      </c>
    </row>
    <row r="69" spans="1:8" x14ac:dyDescent="0.35">
      <c r="A69" s="26"/>
      <c r="B69" s="27" t="s">
        <v>11</v>
      </c>
      <c r="C69" s="27"/>
      <c r="D69" s="27"/>
      <c r="E69" s="27"/>
      <c r="F69" s="27"/>
      <c r="G69" s="26"/>
      <c r="H69" s="26"/>
    </row>
    <row r="70" spans="1:8" x14ac:dyDescent="0.35">
      <c r="A70" s="26"/>
      <c r="B70" s="3">
        <v>1</v>
      </c>
      <c r="C70" s="3">
        <v>2</v>
      </c>
      <c r="D70" s="3">
        <v>3</v>
      </c>
      <c r="E70" s="3">
        <v>4</v>
      </c>
      <c r="F70" s="3">
        <v>5</v>
      </c>
      <c r="G70" s="26"/>
      <c r="H70" s="26"/>
    </row>
    <row r="71" spans="1:8" x14ac:dyDescent="0.35">
      <c r="A71" s="1" t="s">
        <v>7</v>
      </c>
      <c r="B71" s="2">
        <v>8.1199999999999992</v>
      </c>
      <c r="C71" s="2">
        <v>10.74</v>
      </c>
      <c r="D71" s="2">
        <v>8.5500000000000007</v>
      </c>
      <c r="E71" s="4" t="s">
        <v>17</v>
      </c>
      <c r="F71" s="2">
        <v>11.21</v>
      </c>
      <c r="G71" s="2">
        <f>SUM(B71:F71)</f>
        <v>38.620000000000005</v>
      </c>
      <c r="H71" s="5">
        <f>AVERAGE(B71:F71)</f>
        <v>9.6550000000000011</v>
      </c>
    </row>
    <row r="72" spans="1:8" x14ac:dyDescent="0.35">
      <c r="A72" s="1" t="s">
        <v>9</v>
      </c>
      <c r="B72" s="2">
        <v>11.5</v>
      </c>
      <c r="C72" s="2">
        <v>7.14</v>
      </c>
      <c r="D72" s="4">
        <v>7.22</v>
      </c>
      <c r="E72" s="2">
        <v>7.9</v>
      </c>
      <c r="F72" s="2">
        <v>12.5</v>
      </c>
      <c r="G72" s="2">
        <f t="shared" ref="G72:G79" si="22">SUM(B72:F72)</f>
        <v>46.26</v>
      </c>
      <c r="H72" s="5">
        <f t="shared" ref="H72:H79" si="23">AVERAGE(B72:F72)</f>
        <v>9.2519999999999989</v>
      </c>
    </row>
    <row r="73" spans="1:8" x14ac:dyDescent="0.35">
      <c r="A73" s="1" t="s">
        <v>6</v>
      </c>
      <c r="B73" s="2">
        <v>9.8000000000000007</v>
      </c>
      <c r="C73" s="2">
        <v>9.7100000000000009</v>
      </c>
      <c r="D73" s="2">
        <v>9.7100000000000009</v>
      </c>
      <c r="E73" s="2">
        <v>9.68</v>
      </c>
      <c r="F73" s="2">
        <v>11.49</v>
      </c>
      <c r="G73" s="2">
        <f t="shared" si="22"/>
        <v>50.390000000000008</v>
      </c>
      <c r="H73" s="5">
        <f t="shared" si="23"/>
        <v>10.078000000000001</v>
      </c>
    </row>
    <row r="74" spans="1:8" x14ac:dyDescent="0.35">
      <c r="A74" s="1" t="s">
        <v>5</v>
      </c>
      <c r="B74" s="4">
        <v>7.28</v>
      </c>
      <c r="C74" s="2">
        <v>12.82</v>
      </c>
      <c r="D74" s="2">
        <v>9.75</v>
      </c>
      <c r="E74" s="2">
        <v>8.17</v>
      </c>
      <c r="F74" s="2">
        <v>9.4499999999999993</v>
      </c>
      <c r="G74" s="2">
        <f t="shared" si="22"/>
        <v>47.47</v>
      </c>
      <c r="H74" s="5">
        <f t="shared" si="23"/>
        <v>9.4939999999999998</v>
      </c>
    </row>
    <row r="75" spans="1:8" x14ac:dyDescent="0.35">
      <c r="A75" s="1" t="s">
        <v>8</v>
      </c>
      <c r="B75" s="2">
        <v>8.7799999999999994</v>
      </c>
      <c r="C75" s="2">
        <v>7.71</v>
      </c>
      <c r="D75" s="2">
        <v>7.6</v>
      </c>
      <c r="E75" s="4">
        <v>9.91</v>
      </c>
      <c r="F75" s="2">
        <v>10.43</v>
      </c>
      <c r="G75" s="2">
        <f t="shared" si="22"/>
        <v>44.43</v>
      </c>
      <c r="H75" s="5">
        <f t="shared" si="23"/>
        <v>8.8859999999999992</v>
      </c>
    </row>
    <row r="76" spans="1:8" x14ac:dyDescent="0.35">
      <c r="A76" s="1" t="s">
        <v>2</v>
      </c>
      <c r="B76" s="2">
        <v>9.36</v>
      </c>
      <c r="C76" s="2">
        <v>9.3800000000000008</v>
      </c>
      <c r="D76" s="2">
        <v>7.82</v>
      </c>
      <c r="E76" s="2">
        <v>11.4</v>
      </c>
      <c r="F76" s="2">
        <v>7.11</v>
      </c>
      <c r="G76" s="2">
        <f t="shared" si="22"/>
        <v>45.07</v>
      </c>
      <c r="H76" s="5">
        <f t="shared" si="23"/>
        <v>9.0139999999999993</v>
      </c>
    </row>
    <row r="77" spans="1:8" x14ac:dyDescent="0.35">
      <c r="A77" s="1" t="s">
        <v>3</v>
      </c>
      <c r="B77" s="2">
        <v>8.5</v>
      </c>
      <c r="C77" s="2">
        <v>9.11</v>
      </c>
      <c r="D77" s="2">
        <v>12.21</v>
      </c>
      <c r="E77" s="2">
        <v>13.96</v>
      </c>
      <c r="F77" s="4">
        <v>13.5</v>
      </c>
      <c r="G77" s="2">
        <f t="shared" si="22"/>
        <v>57.28</v>
      </c>
      <c r="H77" s="5">
        <f t="shared" si="23"/>
        <v>11.456</v>
      </c>
    </row>
    <row r="78" spans="1:8" x14ac:dyDescent="0.35">
      <c r="A78" s="1" t="s">
        <v>4</v>
      </c>
      <c r="B78" s="2">
        <v>7.85</v>
      </c>
      <c r="C78" s="2">
        <v>10.39</v>
      </c>
      <c r="D78" s="2">
        <v>10.01</v>
      </c>
      <c r="E78" s="2">
        <v>11.4</v>
      </c>
      <c r="F78" s="2">
        <v>10.18</v>
      </c>
      <c r="G78" s="2">
        <f t="shared" si="22"/>
        <v>49.83</v>
      </c>
      <c r="H78" s="5">
        <f t="shared" si="23"/>
        <v>9.9659999999999993</v>
      </c>
    </row>
    <row r="79" spans="1:8" x14ac:dyDescent="0.35">
      <c r="A79" s="1" t="s">
        <v>1</v>
      </c>
      <c r="B79" s="2">
        <v>10.4</v>
      </c>
      <c r="C79" s="2">
        <v>8.1</v>
      </c>
      <c r="D79" s="2">
        <v>8.76</v>
      </c>
      <c r="E79" s="2">
        <v>10.16</v>
      </c>
      <c r="F79" s="2">
        <v>11.16</v>
      </c>
      <c r="G79" s="2">
        <f t="shared" si="22"/>
        <v>48.58</v>
      </c>
      <c r="H79" s="5">
        <f t="shared" si="23"/>
        <v>9.7159999999999993</v>
      </c>
    </row>
    <row r="80" spans="1:8" x14ac:dyDescent="0.35">
      <c r="B80" s="6"/>
    </row>
    <row r="81" spans="1:21" x14ac:dyDescent="0.35">
      <c r="A81" s="28" t="s">
        <v>18</v>
      </c>
      <c r="B81" s="28"/>
      <c r="C81" s="28"/>
      <c r="D81" s="28"/>
      <c r="E81" s="28"/>
      <c r="F81" s="28"/>
      <c r="G81" s="28"/>
      <c r="H81" s="28"/>
    </row>
    <row r="82" spans="1:21" x14ac:dyDescent="0.35">
      <c r="A82" s="26" t="s">
        <v>0</v>
      </c>
      <c r="B82" s="27" t="s">
        <v>10</v>
      </c>
      <c r="C82" s="27"/>
      <c r="D82" s="27"/>
      <c r="E82" s="27"/>
      <c r="F82" s="27"/>
      <c r="G82" s="26" t="s">
        <v>12</v>
      </c>
      <c r="H82" s="26" t="s">
        <v>13</v>
      </c>
    </row>
    <row r="83" spans="1:21" x14ac:dyDescent="0.35">
      <c r="A83" s="26"/>
      <c r="B83" s="27" t="s">
        <v>11</v>
      </c>
      <c r="C83" s="27"/>
      <c r="D83" s="27"/>
      <c r="E83" s="27"/>
      <c r="F83" s="27"/>
      <c r="G83" s="26"/>
      <c r="H83" s="26"/>
    </row>
    <row r="84" spans="1:21" x14ac:dyDescent="0.35">
      <c r="A84" s="26"/>
      <c r="B84" s="3">
        <v>1</v>
      </c>
      <c r="C84" s="3">
        <v>2</v>
      </c>
      <c r="D84" s="3">
        <v>3</v>
      </c>
      <c r="E84" s="3">
        <v>4</v>
      </c>
      <c r="F84" s="3">
        <v>5</v>
      </c>
      <c r="G84" s="26"/>
      <c r="H84" s="26"/>
    </row>
    <row r="85" spans="1:21" x14ac:dyDescent="0.35">
      <c r="A85" s="1" t="s">
        <v>1</v>
      </c>
      <c r="B85" s="2">
        <v>18.100000000000001</v>
      </c>
      <c r="C85" s="2">
        <v>10.3</v>
      </c>
      <c r="D85" s="2">
        <v>13.3</v>
      </c>
      <c r="E85" s="4">
        <v>15.3</v>
      </c>
      <c r="F85" s="2">
        <v>13.1</v>
      </c>
      <c r="G85" s="2">
        <f>SUM(B85:F85)</f>
        <v>70.099999999999994</v>
      </c>
      <c r="H85" s="2">
        <f>AVERAGE(B85:F85)</f>
        <v>14.02</v>
      </c>
    </row>
    <row r="86" spans="1:21" x14ac:dyDescent="0.35">
      <c r="A86" s="1" t="s">
        <v>2</v>
      </c>
      <c r="B86" s="2">
        <v>13.6</v>
      </c>
      <c r="C86" s="2">
        <v>20.100000000000001</v>
      </c>
      <c r="D86" s="2">
        <v>12.9</v>
      </c>
      <c r="E86" s="2">
        <v>15.3</v>
      </c>
      <c r="F86" s="2">
        <v>13.5</v>
      </c>
      <c r="G86" s="2">
        <f t="shared" ref="G86:G93" si="24">SUM(B86:F86)</f>
        <v>75.400000000000006</v>
      </c>
      <c r="H86" s="2">
        <f t="shared" ref="H86:H88" si="25">AVERAGE(B86:F86)</f>
        <v>15.080000000000002</v>
      </c>
    </row>
    <row r="87" spans="1:21" x14ac:dyDescent="0.35">
      <c r="A87" s="1" t="s">
        <v>3</v>
      </c>
      <c r="B87" s="4">
        <v>12</v>
      </c>
      <c r="C87" s="2">
        <v>10.7</v>
      </c>
      <c r="D87" s="2">
        <v>16.5</v>
      </c>
      <c r="E87" s="2">
        <v>13.3</v>
      </c>
      <c r="F87" s="2">
        <v>12</v>
      </c>
      <c r="G87" s="2">
        <f t="shared" si="24"/>
        <v>64.5</v>
      </c>
      <c r="H87" s="2">
        <f t="shared" si="25"/>
        <v>12.9</v>
      </c>
    </row>
    <row r="88" spans="1:21" x14ac:dyDescent="0.35">
      <c r="A88" s="1" t="s">
        <v>4</v>
      </c>
      <c r="B88" s="4">
        <v>12.8</v>
      </c>
      <c r="C88" s="2">
        <v>17.2</v>
      </c>
      <c r="D88" s="2">
        <v>14</v>
      </c>
      <c r="E88" s="2">
        <v>15.3</v>
      </c>
      <c r="F88" s="2">
        <v>14.3</v>
      </c>
      <c r="G88" s="4">
        <f t="shared" si="24"/>
        <v>73.599999999999994</v>
      </c>
      <c r="H88" s="5">
        <f t="shared" si="25"/>
        <v>14.719999999999999</v>
      </c>
    </row>
    <row r="89" spans="1:21" x14ac:dyDescent="0.35">
      <c r="A89" s="1" t="s">
        <v>5</v>
      </c>
      <c r="B89" s="2">
        <v>12.7</v>
      </c>
      <c r="C89" s="2">
        <v>13.5</v>
      </c>
      <c r="D89" s="2">
        <v>15.8</v>
      </c>
      <c r="E89" s="4">
        <v>14.7</v>
      </c>
      <c r="F89" s="2">
        <v>13.9</v>
      </c>
      <c r="G89" s="4">
        <f t="shared" si="24"/>
        <v>70.600000000000009</v>
      </c>
      <c r="H89" s="5">
        <f>AVERAGE(B89:F89)</f>
        <v>14.120000000000001</v>
      </c>
    </row>
    <row r="90" spans="1:21" x14ac:dyDescent="0.35">
      <c r="A90" s="1" t="s">
        <v>6</v>
      </c>
      <c r="B90" s="2">
        <v>17.399999999999999</v>
      </c>
      <c r="C90" s="2">
        <v>12.9</v>
      </c>
      <c r="D90" s="2">
        <v>12.1</v>
      </c>
      <c r="E90" s="2">
        <v>14</v>
      </c>
      <c r="F90" s="2">
        <v>21</v>
      </c>
      <c r="G90" s="2">
        <f t="shared" si="24"/>
        <v>77.400000000000006</v>
      </c>
      <c r="H90" s="2">
        <f t="shared" ref="H90:H93" si="26">AVERAGE(B90:F90)</f>
        <v>15.48</v>
      </c>
    </row>
    <row r="91" spans="1:21" x14ac:dyDescent="0.35">
      <c r="A91" s="1" t="s">
        <v>7</v>
      </c>
      <c r="B91" s="2">
        <v>15.1</v>
      </c>
      <c r="C91" s="2">
        <v>13.7</v>
      </c>
      <c r="D91" s="2">
        <v>13.4</v>
      </c>
      <c r="E91" s="2">
        <v>14.2</v>
      </c>
      <c r="F91" s="4">
        <v>21.2</v>
      </c>
      <c r="G91" s="4">
        <f t="shared" si="24"/>
        <v>77.599999999999994</v>
      </c>
      <c r="H91" s="5">
        <f t="shared" si="26"/>
        <v>15.52</v>
      </c>
    </row>
    <row r="92" spans="1:21" x14ac:dyDescent="0.35">
      <c r="A92" s="1" t="s">
        <v>8</v>
      </c>
      <c r="B92" s="2">
        <v>14</v>
      </c>
      <c r="C92" s="2">
        <v>13.4</v>
      </c>
      <c r="D92" s="2">
        <v>14</v>
      </c>
      <c r="E92" s="2">
        <v>14</v>
      </c>
      <c r="F92" s="2">
        <v>16.600000000000001</v>
      </c>
      <c r="G92" s="2">
        <f t="shared" si="24"/>
        <v>72</v>
      </c>
      <c r="H92" s="5">
        <f t="shared" si="26"/>
        <v>14.4</v>
      </c>
      <c r="J92" s="2" t="s">
        <v>28</v>
      </c>
      <c r="K92" s="2" t="s">
        <v>10</v>
      </c>
      <c r="L92" s="2" t="s">
        <v>16</v>
      </c>
      <c r="M92" s="2" t="s">
        <v>20</v>
      </c>
      <c r="N92" s="2" t="s">
        <v>29</v>
      </c>
      <c r="O92" s="2" t="s">
        <v>30</v>
      </c>
      <c r="Q92" s="8" t="s">
        <v>31</v>
      </c>
      <c r="R92" s="9"/>
    </row>
    <row r="93" spans="1:21" x14ac:dyDescent="0.35">
      <c r="A93" s="1" t="s">
        <v>9</v>
      </c>
      <c r="B93" s="2">
        <v>19.7</v>
      </c>
      <c r="C93" s="2">
        <v>23.9</v>
      </c>
      <c r="D93" s="2">
        <v>18.600000000000001</v>
      </c>
      <c r="E93" s="2">
        <v>22.1</v>
      </c>
      <c r="F93" s="2">
        <v>26</v>
      </c>
      <c r="G93" s="4">
        <f t="shared" si="24"/>
        <v>110.3</v>
      </c>
      <c r="H93" s="2">
        <f t="shared" si="26"/>
        <v>22.06</v>
      </c>
      <c r="J93" s="2" t="s">
        <v>8</v>
      </c>
      <c r="K93" s="5">
        <f>H92</f>
        <v>14.4</v>
      </c>
      <c r="L93" s="5">
        <f>H100</f>
        <v>14.84</v>
      </c>
      <c r="M93" s="5">
        <f>H115</f>
        <v>16.279999999999998</v>
      </c>
      <c r="N93" s="5">
        <f>SUM(K93:M93)</f>
        <v>45.519999999999996</v>
      </c>
      <c r="O93" s="19">
        <f>AVERAGE(K93:M93)</f>
        <v>15.173333333333332</v>
      </c>
      <c r="Q93" s="12"/>
      <c r="R93" s="12" t="s">
        <v>32</v>
      </c>
      <c r="S93" s="12" t="s">
        <v>33</v>
      </c>
      <c r="T93" s="12" t="s">
        <v>49</v>
      </c>
      <c r="U93" s="12" t="s">
        <v>29</v>
      </c>
    </row>
    <row r="94" spans="1:21" x14ac:dyDescent="0.35">
      <c r="A94" s="29"/>
      <c r="B94" s="29"/>
      <c r="C94" s="29"/>
      <c r="D94" s="29"/>
      <c r="E94" s="29"/>
      <c r="F94" s="29"/>
      <c r="G94" s="29"/>
      <c r="H94" s="29"/>
      <c r="J94" s="2" t="s">
        <v>6</v>
      </c>
      <c r="K94" s="5">
        <f>H90</f>
        <v>15.48</v>
      </c>
      <c r="L94" s="5">
        <f>H98</f>
        <v>15.539999999999997</v>
      </c>
      <c r="M94" s="5">
        <f>H113</f>
        <v>15.98</v>
      </c>
      <c r="N94" s="5">
        <f t="shared" ref="N94:N101" si="27">SUM(K94:M94)</f>
        <v>47</v>
      </c>
      <c r="O94" s="19">
        <f t="shared" ref="O94:O101" si="28">AVERAGE(K94:M94)</f>
        <v>15.666666666666666</v>
      </c>
      <c r="Q94" s="12" t="s">
        <v>50</v>
      </c>
      <c r="R94" s="19">
        <f>N93</f>
        <v>45.519999999999996</v>
      </c>
      <c r="S94" s="19">
        <f>N96</f>
        <v>44.2</v>
      </c>
      <c r="T94" s="19">
        <f>N99</f>
        <v>44.14</v>
      </c>
      <c r="U94" s="19">
        <f>SUM(R94:T94)</f>
        <v>133.86000000000001</v>
      </c>
    </row>
    <row r="95" spans="1:21" x14ac:dyDescent="0.35">
      <c r="A95" s="26" t="s">
        <v>0</v>
      </c>
      <c r="B95" s="27" t="s">
        <v>16</v>
      </c>
      <c r="C95" s="27"/>
      <c r="D95" s="27"/>
      <c r="E95" s="27"/>
      <c r="F95" s="27"/>
      <c r="G95" s="26" t="s">
        <v>12</v>
      </c>
      <c r="H95" s="26" t="s">
        <v>13</v>
      </c>
      <c r="J95" s="2" t="s">
        <v>5</v>
      </c>
      <c r="K95" s="5">
        <f>H89</f>
        <v>14.120000000000001</v>
      </c>
      <c r="L95" s="5">
        <f>H105</f>
        <v>13.920000000000002</v>
      </c>
      <c r="M95" s="5">
        <f>H114</f>
        <v>15.680000000000001</v>
      </c>
      <c r="N95" s="5">
        <f t="shared" si="27"/>
        <v>43.720000000000006</v>
      </c>
      <c r="O95" s="19">
        <f t="shared" si="28"/>
        <v>14.573333333333336</v>
      </c>
      <c r="Q95" s="12" t="s">
        <v>51</v>
      </c>
      <c r="R95" s="19">
        <f>N94</f>
        <v>47</v>
      </c>
      <c r="S95" s="19">
        <f>N97</f>
        <v>46.739999999999995</v>
      </c>
      <c r="T95" s="19">
        <f>N100</f>
        <v>44.900000000000006</v>
      </c>
      <c r="U95" s="19">
        <f>SUM(R95:T95)</f>
        <v>138.63999999999999</v>
      </c>
    </row>
    <row r="96" spans="1:21" x14ac:dyDescent="0.35">
      <c r="A96" s="26"/>
      <c r="B96" s="27" t="s">
        <v>11</v>
      </c>
      <c r="C96" s="27"/>
      <c r="D96" s="27"/>
      <c r="E96" s="27"/>
      <c r="F96" s="27"/>
      <c r="G96" s="26"/>
      <c r="H96" s="26"/>
      <c r="J96" s="2" t="s">
        <v>3</v>
      </c>
      <c r="K96" s="5">
        <f>H87</f>
        <v>12.9</v>
      </c>
      <c r="L96" s="5">
        <f>H102</f>
        <v>13.819999999999999</v>
      </c>
      <c r="M96" s="5">
        <f>H117</f>
        <v>17.48</v>
      </c>
      <c r="N96" s="5">
        <f t="shared" si="27"/>
        <v>44.2</v>
      </c>
      <c r="O96" s="19">
        <f t="shared" si="28"/>
        <v>14.733333333333334</v>
      </c>
      <c r="Q96" s="12" t="s">
        <v>52</v>
      </c>
      <c r="R96" s="19">
        <f>N95</f>
        <v>43.720000000000006</v>
      </c>
      <c r="S96" s="19">
        <f>N98</f>
        <v>47.16</v>
      </c>
      <c r="T96" s="19">
        <f>N101</f>
        <v>54.719999999999992</v>
      </c>
      <c r="U96" s="19">
        <f>SUM(R96:T96)</f>
        <v>145.6</v>
      </c>
    </row>
    <row r="97" spans="1:25" x14ac:dyDescent="0.35">
      <c r="A97" s="26"/>
      <c r="B97" s="3">
        <v>1</v>
      </c>
      <c r="C97" s="3">
        <v>2</v>
      </c>
      <c r="D97" s="3">
        <v>3</v>
      </c>
      <c r="E97" s="3">
        <v>4</v>
      </c>
      <c r="F97" s="3">
        <v>5</v>
      </c>
      <c r="G97" s="26"/>
      <c r="H97" s="26"/>
      <c r="J97" s="2" t="s">
        <v>7</v>
      </c>
      <c r="K97" s="5">
        <f>H91</f>
        <v>15.52</v>
      </c>
      <c r="L97" s="5">
        <f>H103</f>
        <v>14.819999999999999</v>
      </c>
      <c r="M97" s="5">
        <f>H111</f>
        <v>16.399999999999999</v>
      </c>
      <c r="N97" s="5">
        <f t="shared" si="27"/>
        <v>46.739999999999995</v>
      </c>
      <c r="O97" s="19">
        <f t="shared" si="28"/>
        <v>15.579999999999998</v>
      </c>
      <c r="Q97" s="12" t="s">
        <v>29</v>
      </c>
      <c r="R97" s="19">
        <f>SUM(R94:R96)</f>
        <v>136.24</v>
      </c>
      <c r="S97" s="19">
        <f t="shared" ref="S97:U97" si="29">SUM(S94:S96)</f>
        <v>138.1</v>
      </c>
      <c r="T97" s="19">
        <f t="shared" si="29"/>
        <v>143.76</v>
      </c>
      <c r="U97" s="21">
        <f t="shared" si="29"/>
        <v>418.1</v>
      </c>
    </row>
    <row r="98" spans="1:25" x14ac:dyDescent="0.35">
      <c r="A98" s="1" t="s">
        <v>6</v>
      </c>
      <c r="B98" s="2">
        <v>18.899999999999999</v>
      </c>
      <c r="C98" s="2">
        <v>15.9</v>
      </c>
      <c r="D98" s="2">
        <v>15.3</v>
      </c>
      <c r="E98" s="4">
        <v>14</v>
      </c>
      <c r="F98" s="2">
        <v>13.6</v>
      </c>
      <c r="G98" s="2">
        <f>SUM(B98:F98)</f>
        <v>77.699999999999989</v>
      </c>
      <c r="H98" s="2">
        <f>AVERAGE(B98:F98)</f>
        <v>15.539999999999997</v>
      </c>
      <c r="J98" s="2" t="s">
        <v>4</v>
      </c>
      <c r="K98" s="5">
        <f>H88</f>
        <v>14.719999999999999</v>
      </c>
      <c r="L98" s="5">
        <f>H101</f>
        <v>15.52</v>
      </c>
      <c r="M98" s="5">
        <f>H118</f>
        <v>16.919999999999998</v>
      </c>
      <c r="N98" s="5">
        <f t="shared" si="27"/>
        <v>47.16</v>
      </c>
      <c r="O98" s="19">
        <f t="shared" si="28"/>
        <v>15.719999999999999</v>
      </c>
    </row>
    <row r="99" spans="1:25" x14ac:dyDescent="0.35">
      <c r="A99" s="1" t="s">
        <v>9</v>
      </c>
      <c r="B99" s="2">
        <v>18.100000000000001</v>
      </c>
      <c r="C99" s="2">
        <v>13.5</v>
      </c>
      <c r="D99" s="2">
        <v>19.899999999999999</v>
      </c>
      <c r="E99" s="2">
        <v>15.1</v>
      </c>
      <c r="F99" s="2">
        <v>16.5</v>
      </c>
      <c r="G99" s="2">
        <f t="shared" ref="G99:G106" si="30">SUM(B99:F99)</f>
        <v>83.1</v>
      </c>
      <c r="H99" s="2">
        <f t="shared" ref="H99:H106" si="31">AVERAGE(B99:F99)</f>
        <v>16.619999999999997</v>
      </c>
      <c r="J99" s="2" t="s">
        <v>1</v>
      </c>
      <c r="K99" s="5">
        <f>H85</f>
        <v>14.02</v>
      </c>
      <c r="L99" s="5">
        <f>H106</f>
        <v>14.379999999999999</v>
      </c>
      <c r="M99" s="5">
        <f>H119</f>
        <v>15.739999999999998</v>
      </c>
      <c r="N99" s="5">
        <f t="shared" si="27"/>
        <v>44.14</v>
      </c>
      <c r="O99" s="19">
        <f t="shared" si="28"/>
        <v>14.713333333333333</v>
      </c>
      <c r="Q99" s="14" t="s">
        <v>34</v>
      </c>
      <c r="R99" s="14">
        <f>U97^2/27</f>
        <v>6474.3559259259264</v>
      </c>
    </row>
    <row r="100" spans="1:25" x14ac:dyDescent="0.35">
      <c r="A100" s="1" t="s">
        <v>8</v>
      </c>
      <c r="B100" s="2">
        <v>17</v>
      </c>
      <c r="C100" s="4">
        <v>13.9</v>
      </c>
      <c r="D100" s="2">
        <v>13.3</v>
      </c>
      <c r="E100" s="4">
        <v>12.3</v>
      </c>
      <c r="F100" s="2">
        <v>17.7</v>
      </c>
      <c r="G100" s="2">
        <f t="shared" si="30"/>
        <v>74.2</v>
      </c>
      <c r="H100" s="2">
        <f t="shared" si="31"/>
        <v>14.84</v>
      </c>
      <c r="J100" s="2" t="s">
        <v>2</v>
      </c>
      <c r="K100" s="5">
        <f>H86</f>
        <v>15.080000000000002</v>
      </c>
      <c r="L100" s="5">
        <f>H104</f>
        <v>13.66</v>
      </c>
      <c r="M100" s="5">
        <f>H116</f>
        <v>16.160000000000004</v>
      </c>
      <c r="N100" s="5">
        <f t="shared" si="27"/>
        <v>44.900000000000006</v>
      </c>
      <c r="O100" s="19">
        <f t="shared" si="28"/>
        <v>14.966666666666669</v>
      </c>
      <c r="Q100" s="15" t="s">
        <v>35</v>
      </c>
      <c r="R100" s="15">
        <f>SQRT(M112)/O103*100</f>
        <v>9.6671732198231997</v>
      </c>
    </row>
    <row r="101" spans="1:25" x14ac:dyDescent="0.35">
      <c r="A101" s="1" t="s">
        <v>4</v>
      </c>
      <c r="B101" s="2">
        <v>14.7</v>
      </c>
      <c r="C101" s="2">
        <v>14.5</v>
      </c>
      <c r="D101" s="2">
        <v>14.1</v>
      </c>
      <c r="E101" s="2">
        <v>19.3</v>
      </c>
      <c r="F101" s="2">
        <v>15</v>
      </c>
      <c r="G101" s="2">
        <f t="shared" si="30"/>
        <v>77.599999999999994</v>
      </c>
      <c r="H101" s="5">
        <f t="shared" si="31"/>
        <v>15.52</v>
      </c>
      <c r="J101" s="2" t="s">
        <v>9</v>
      </c>
      <c r="K101" s="5">
        <f>H93</f>
        <v>22.06</v>
      </c>
      <c r="L101" s="5">
        <f>H99</f>
        <v>16.619999999999997</v>
      </c>
      <c r="M101" s="5">
        <f>H112</f>
        <v>16.04</v>
      </c>
      <c r="N101" s="5">
        <f t="shared" si="27"/>
        <v>54.719999999999992</v>
      </c>
      <c r="O101" s="19">
        <f t="shared" si="28"/>
        <v>18.239999999999998</v>
      </c>
    </row>
    <row r="102" spans="1:25" x14ac:dyDescent="0.35">
      <c r="A102" s="1" t="s">
        <v>3</v>
      </c>
      <c r="B102" s="2">
        <v>15.7</v>
      </c>
      <c r="C102" s="2">
        <v>11.1</v>
      </c>
      <c r="D102" s="2">
        <v>16.2</v>
      </c>
      <c r="E102" s="4">
        <v>14</v>
      </c>
      <c r="F102" s="2">
        <v>12.1</v>
      </c>
      <c r="G102" s="2">
        <f t="shared" si="30"/>
        <v>69.099999999999994</v>
      </c>
      <c r="H102" s="2">
        <f t="shared" si="31"/>
        <v>13.819999999999999</v>
      </c>
      <c r="J102" s="2" t="s">
        <v>12</v>
      </c>
      <c r="K102" s="5">
        <f>SUM(K93:K101)</f>
        <v>138.29999999999998</v>
      </c>
      <c r="L102" s="5">
        <f t="shared" ref="L102:N102" si="32">SUM(L93:L101)</f>
        <v>133.11999999999998</v>
      </c>
      <c r="M102" s="5">
        <f t="shared" si="32"/>
        <v>146.67999999999998</v>
      </c>
      <c r="N102" s="20">
        <f t="shared" si="32"/>
        <v>418.09999999999997</v>
      </c>
      <c r="O102" s="19"/>
    </row>
    <row r="103" spans="1:25" x14ac:dyDescent="0.35">
      <c r="A103" s="1" t="s">
        <v>7</v>
      </c>
      <c r="B103" s="2">
        <v>15.1</v>
      </c>
      <c r="C103" s="2">
        <v>13.7</v>
      </c>
      <c r="D103" s="2">
        <v>13.8</v>
      </c>
      <c r="E103" s="4">
        <v>16.2</v>
      </c>
      <c r="F103" s="2">
        <v>15.3</v>
      </c>
      <c r="G103" s="2">
        <f t="shared" si="30"/>
        <v>74.099999999999994</v>
      </c>
      <c r="H103" s="2">
        <f t="shared" si="31"/>
        <v>14.819999999999999</v>
      </c>
      <c r="J103" s="2" t="s">
        <v>13</v>
      </c>
      <c r="K103" s="19">
        <f>AVERAGE(K93:K101)</f>
        <v>15.366666666666665</v>
      </c>
      <c r="L103" s="19">
        <f t="shared" ref="L103:M103" si="33">AVERAGE(L93:L101)</f>
        <v>14.791111111111109</v>
      </c>
      <c r="M103" s="19">
        <f t="shared" si="33"/>
        <v>16.297777777777775</v>
      </c>
      <c r="N103" s="19"/>
      <c r="O103" s="19">
        <f>AVERAGE(K93:M101)</f>
        <v>15.485185185185188</v>
      </c>
    </row>
    <row r="104" spans="1:25" x14ac:dyDescent="0.35">
      <c r="A104" s="1" t="s">
        <v>2</v>
      </c>
      <c r="B104" s="2">
        <v>16.899999999999999</v>
      </c>
      <c r="C104" s="2">
        <v>12.3</v>
      </c>
      <c r="D104" s="2">
        <v>13.2</v>
      </c>
      <c r="E104" s="2">
        <v>12.7</v>
      </c>
      <c r="F104" s="4">
        <v>13.2</v>
      </c>
      <c r="G104" s="2">
        <f t="shared" si="30"/>
        <v>68.3</v>
      </c>
      <c r="H104" s="5">
        <f t="shared" si="31"/>
        <v>13.66</v>
      </c>
      <c r="J104" s="16"/>
    </row>
    <row r="105" spans="1:25" x14ac:dyDescent="0.35">
      <c r="A105" s="1" t="s">
        <v>5</v>
      </c>
      <c r="B105" s="2">
        <v>15</v>
      </c>
      <c r="C105" s="2">
        <v>14.1</v>
      </c>
      <c r="D105" s="2">
        <v>14.8</v>
      </c>
      <c r="E105" s="2">
        <v>13.3</v>
      </c>
      <c r="F105" s="2">
        <v>12.4</v>
      </c>
      <c r="G105" s="2">
        <f t="shared" si="30"/>
        <v>69.600000000000009</v>
      </c>
      <c r="H105" s="5">
        <f t="shared" si="31"/>
        <v>13.920000000000002</v>
      </c>
      <c r="J105" s="17" t="s">
        <v>36</v>
      </c>
      <c r="K105" s="9"/>
    </row>
    <row r="106" spans="1:25" x14ac:dyDescent="0.35">
      <c r="A106" s="1" t="s">
        <v>1</v>
      </c>
      <c r="B106" s="2">
        <v>15.1</v>
      </c>
      <c r="C106" s="2">
        <v>13.2</v>
      </c>
      <c r="D106" s="2">
        <v>15.8</v>
      </c>
      <c r="E106" s="2">
        <v>15.7</v>
      </c>
      <c r="F106" s="2">
        <v>12.1</v>
      </c>
      <c r="G106" s="2">
        <f t="shared" si="30"/>
        <v>71.899999999999991</v>
      </c>
      <c r="H106" s="2">
        <f t="shared" si="31"/>
        <v>14.379999999999999</v>
      </c>
      <c r="J106" s="2" t="s">
        <v>37</v>
      </c>
      <c r="K106" s="2" t="s">
        <v>38</v>
      </c>
      <c r="L106" s="2" t="s">
        <v>39</v>
      </c>
      <c r="M106" s="2" t="s">
        <v>40</v>
      </c>
      <c r="N106" s="2" t="s">
        <v>41</v>
      </c>
      <c r="O106" s="2" t="s">
        <v>42</v>
      </c>
      <c r="P106" s="2" t="s">
        <v>43</v>
      </c>
    </row>
    <row r="107" spans="1:25" x14ac:dyDescent="0.35">
      <c r="A107" s="25"/>
      <c r="B107" s="25"/>
      <c r="C107" s="25"/>
      <c r="D107" s="25"/>
      <c r="E107" s="25"/>
      <c r="F107" s="25"/>
      <c r="G107" s="25"/>
      <c r="H107" s="25"/>
      <c r="J107" s="2" t="s">
        <v>44</v>
      </c>
      <c r="K107" s="6">
        <f>3-1</f>
        <v>2</v>
      </c>
      <c r="L107" s="5">
        <f>SUMSQ(K102:M102)/9-R99</f>
        <v>10.404829629627784</v>
      </c>
      <c r="M107" s="5">
        <f t="shared" ref="M107:M112" si="34">L107/K107</f>
        <v>5.202414814813892</v>
      </c>
      <c r="N107" s="5">
        <f>M107/M112</f>
        <v>2.3215239581124227</v>
      </c>
      <c r="O107" s="5">
        <f>FINV(5%,K107,K112)</f>
        <v>3.6337234675916301</v>
      </c>
      <c r="P107" s="2" t="str">
        <f>IF(N107&gt;O107,"*","NS")</f>
        <v>NS</v>
      </c>
    </row>
    <row r="108" spans="1:25" x14ac:dyDescent="0.35">
      <c r="A108" s="26" t="s">
        <v>0</v>
      </c>
      <c r="B108" s="27" t="s">
        <v>20</v>
      </c>
      <c r="C108" s="27"/>
      <c r="D108" s="27"/>
      <c r="E108" s="27"/>
      <c r="F108" s="27"/>
      <c r="G108" s="26" t="s">
        <v>12</v>
      </c>
      <c r="H108" s="26" t="s">
        <v>13</v>
      </c>
      <c r="J108" s="2" t="s">
        <v>45</v>
      </c>
      <c r="K108" s="2">
        <f>9-1</f>
        <v>8</v>
      </c>
      <c r="L108" s="5">
        <f>SUMSQ(N93:N101)/3-R99</f>
        <v>30.134074074072487</v>
      </c>
      <c r="M108" s="5">
        <f t="shared" si="34"/>
        <v>3.7667592592590609</v>
      </c>
      <c r="N108" s="5">
        <f>M108/M112</f>
        <v>1.6808774724982281</v>
      </c>
      <c r="O108" s="5">
        <f>FINV(5%,K108,K112)</f>
        <v>2.5910961798744014</v>
      </c>
      <c r="P108" s="2" t="str">
        <f>IF(N108&gt;O108,"*","NS")</f>
        <v>NS</v>
      </c>
    </row>
    <row r="109" spans="1:25" x14ac:dyDescent="0.35">
      <c r="A109" s="26"/>
      <c r="B109" s="27" t="s">
        <v>11</v>
      </c>
      <c r="C109" s="27"/>
      <c r="D109" s="27"/>
      <c r="E109" s="27"/>
      <c r="F109" s="27"/>
      <c r="G109" s="26"/>
      <c r="H109" s="26"/>
      <c r="J109" s="2" t="s">
        <v>46</v>
      </c>
      <c r="K109" s="2">
        <f>3-1</f>
        <v>2</v>
      </c>
      <c r="L109" s="5">
        <f>SUMSQ(R97:T97)/9-R99</f>
        <v>3.4090962962955018</v>
      </c>
      <c r="M109" s="5">
        <f t="shared" si="34"/>
        <v>1.7045481481477509</v>
      </c>
      <c r="N109" s="5">
        <f>M109/M112</f>
        <v>0.76063703194392962</v>
      </c>
      <c r="O109" s="5">
        <f>FINV(5%,K109,K112)</f>
        <v>3.6337234675916301</v>
      </c>
      <c r="P109" s="2" t="str">
        <f>IF(N109&gt;O109,"*","NS")</f>
        <v>NS</v>
      </c>
    </row>
    <row r="110" spans="1:25" x14ac:dyDescent="0.35">
      <c r="A110" s="26"/>
      <c r="B110" s="3">
        <v>1</v>
      </c>
      <c r="C110" s="3">
        <v>2</v>
      </c>
      <c r="D110" s="3">
        <v>3</v>
      </c>
      <c r="E110" s="3">
        <v>4</v>
      </c>
      <c r="F110" s="3">
        <v>5</v>
      </c>
      <c r="G110" s="26"/>
      <c r="H110" s="26"/>
      <c r="J110" s="2" t="s">
        <v>53</v>
      </c>
      <c r="K110" s="2">
        <f>3-1</f>
        <v>2</v>
      </c>
      <c r="L110" s="5">
        <f>SUMSQ(U94:U96)/9-R99</f>
        <v>7.7450962962948324</v>
      </c>
      <c r="M110" s="5">
        <f t="shared" si="34"/>
        <v>3.8725481481474162</v>
      </c>
      <c r="N110" s="5">
        <f>M110/M112</f>
        <v>1.7280846731537944</v>
      </c>
      <c r="O110" s="5">
        <f>FINV(5%,K110,K112)</f>
        <v>3.6337234675916301</v>
      </c>
      <c r="P110" s="2" t="str">
        <f>IF(N110&gt;O110,"*","NS")</f>
        <v>NS</v>
      </c>
      <c r="R110" s="33" t="s">
        <v>78</v>
      </c>
      <c r="S110" s="33"/>
      <c r="T110" s="33"/>
      <c r="U110" s="33"/>
      <c r="V110" s="33"/>
      <c r="W110" s="33"/>
      <c r="X110" s="33"/>
      <c r="Y110" s="33"/>
    </row>
    <row r="111" spans="1:25" x14ac:dyDescent="0.35">
      <c r="A111" s="1" t="s">
        <v>7</v>
      </c>
      <c r="B111" s="2">
        <v>12.9</v>
      </c>
      <c r="C111" s="2">
        <v>15.7</v>
      </c>
      <c r="D111" s="2">
        <v>18.899999999999999</v>
      </c>
      <c r="E111" s="4">
        <v>18.8</v>
      </c>
      <c r="F111" s="2">
        <v>15.7</v>
      </c>
      <c r="G111" s="2">
        <f>SUM(B111:F111)</f>
        <v>82</v>
      </c>
      <c r="H111" s="5">
        <f>AVERAGE(B111:F111)</f>
        <v>16.399999999999999</v>
      </c>
      <c r="J111" s="2" t="s">
        <v>54</v>
      </c>
      <c r="K111" s="2">
        <f>K109*K110</f>
        <v>4</v>
      </c>
      <c r="L111" s="5">
        <f>L108-L109-L110</f>
        <v>18.979881481482153</v>
      </c>
      <c r="M111" s="5">
        <f t="shared" si="34"/>
        <v>4.7449703703705381</v>
      </c>
      <c r="N111" s="5">
        <f>M111/M112</f>
        <v>2.117394092447594</v>
      </c>
      <c r="O111" s="5">
        <f>FINV(5%,K111,K112)</f>
        <v>3.0069172799243447</v>
      </c>
      <c r="P111" s="2" t="str">
        <f>IF(N111&gt;O111,"*","NS")</f>
        <v>NS</v>
      </c>
    </row>
    <row r="112" spans="1:25" x14ac:dyDescent="0.35">
      <c r="A112" s="1" t="s">
        <v>9</v>
      </c>
      <c r="B112" s="2">
        <v>15</v>
      </c>
      <c r="C112" s="2">
        <v>19.3</v>
      </c>
      <c r="D112" s="4">
        <v>17.399999999999999</v>
      </c>
      <c r="E112" s="2">
        <v>13.3</v>
      </c>
      <c r="F112" s="2">
        <v>15.2</v>
      </c>
      <c r="G112" s="2">
        <f t="shared" ref="G112:G119" si="35">SUM(B112:F112)</f>
        <v>80.2</v>
      </c>
      <c r="H112" s="5">
        <f t="shared" ref="H112:H119" si="36">AVERAGE(B112:F112)</f>
        <v>16.04</v>
      </c>
      <c r="J112" s="2" t="s">
        <v>47</v>
      </c>
      <c r="K112" s="2">
        <f>K113-K108-K107</f>
        <v>16</v>
      </c>
      <c r="L112" s="5">
        <f>L113-L108-L107</f>
        <v>35.855170370372434</v>
      </c>
      <c r="M112" s="5">
        <f t="shared" si="34"/>
        <v>2.2409481481482771</v>
      </c>
      <c r="N112" s="22"/>
      <c r="O112" s="22"/>
      <c r="P112" s="6"/>
      <c r="Q112" s="6"/>
    </row>
    <row r="113" spans="1:17" x14ac:dyDescent="0.35">
      <c r="A113" s="1" t="s">
        <v>6</v>
      </c>
      <c r="B113" s="2">
        <v>13.4</v>
      </c>
      <c r="C113" s="2">
        <v>21.1</v>
      </c>
      <c r="D113" s="2">
        <v>12.2</v>
      </c>
      <c r="E113" s="2">
        <v>17.5</v>
      </c>
      <c r="F113" s="2">
        <v>15.7</v>
      </c>
      <c r="G113" s="2">
        <f t="shared" si="35"/>
        <v>79.900000000000006</v>
      </c>
      <c r="H113" s="5">
        <f t="shared" si="36"/>
        <v>15.98</v>
      </c>
      <c r="J113" s="2" t="s">
        <v>48</v>
      </c>
      <c r="K113" s="2">
        <f>27-1</f>
        <v>26</v>
      </c>
      <c r="L113" s="5">
        <f>SUMSQ(K93:M101)-R99</f>
        <v>76.394074074072705</v>
      </c>
      <c r="M113" s="22"/>
      <c r="N113" s="22"/>
      <c r="O113" s="22"/>
      <c r="P113" s="6"/>
      <c r="Q113" s="6"/>
    </row>
    <row r="114" spans="1:17" x14ac:dyDescent="0.35">
      <c r="A114" s="1" t="s">
        <v>5</v>
      </c>
      <c r="B114" s="4">
        <v>14.8</v>
      </c>
      <c r="C114" s="2">
        <v>20.100000000000001</v>
      </c>
      <c r="D114" s="2">
        <v>13.3</v>
      </c>
      <c r="E114" s="2">
        <v>14.6</v>
      </c>
      <c r="F114" s="2">
        <v>15.6</v>
      </c>
      <c r="G114" s="2">
        <f t="shared" si="35"/>
        <v>78.400000000000006</v>
      </c>
      <c r="H114" s="5">
        <f t="shared" si="36"/>
        <v>15.680000000000001</v>
      </c>
    </row>
    <row r="115" spans="1:17" x14ac:dyDescent="0.35">
      <c r="A115" s="1" t="s">
        <v>8</v>
      </c>
      <c r="B115" s="2">
        <v>17.600000000000001</v>
      </c>
      <c r="C115" s="2">
        <v>19.2</v>
      </c>
      <c r="D115" s="2">
        <v>16</v>
      </c>
      <c r="E115" s="4">
        <v>14.3</v>
      </c>
      <c r="F115" s="2">
        <v>14.3</v>
      </c>
      <c r="G115" s="2">
        <f t="shared" si="35"/>
        <v>81.399999999999991</v>
      </c>
      <c r="H115" s="5">
        <f t="shared" si="36"/>
        <v>16.279999999999998</v>
      </c>
    </row>
    <row r="116" spans="1:17" x14ac:dyDescent="0.35">
      <c r="A116" s="1" t="s">
        <v>2</v>
      </c>
      <c r="B116" s="2">
        <v>14.4</v>
      </c>
      <c r="C116" s="2">
        <v>18.100000000000001</v>
      </c>
      <c r="D116" s="2">
        <v>14.6</v>
      </c>
      <c r="E116" s="2">
        <v>15.6</v>
      </c>
      <c r="F116" s="2">
        <v>18.100000000000001</v>
      </c>
      <c r="G116" s="2">
        <f t="shared" si="35"/>
        <v>80.800000000000011</v>
      </c>
      <c r="H116" s="5">
        <f t="shared" si="36"/>
        <v>16.160000000000004</v>
      </c>
    </row>
    <row r="117" spans="1:17" x14ac:dyDescent="0.35">
      <c r="A117" s="1" t="s">
        <v>3</v>
      </c>
      <c r="B117" s="2">
        <v>17.3</v>
      </c>
      <c r="C117" s="2">
        <v>16.8</v>
      </c>
      <c r="D117" s="2">
        <v>16.3</v>
      </c>
      <c r="E117" s="2">
        <v>20.100000000000001</v>
      </c>
      <c r="F117" s="4">
        <v>16.899999999999999</v>
      </c>
      <c r="G117" s="2">
        <f t="shared" si="35"/>
        <v>87.4</v>
      </c>
      <c r="H117" s="5">
        <f t="shared" si="36"/>
        <v>17.48</v>
      </c>
    </row>
    <row r="118" spans="1:17" x14ac:dyDescent="0.35">
      <c r="A118" s="1" t="s">
        <v>4</v>
      </c>
      <c r="B118" s="2">
        <v>15</v>
      </c>
      <c r="C118" s="2">
        <v>17</v>
      </c>
      <c r="D118" s="2">
        <v>15.8</v>
      </c>
      <c r="E118" s="2">
        <v>17.7</v>
      </c>
      <c r="F118" s="2">
        <v>19.100000000000001</v>
      </c>
      <c r="G118" s="2">
        <f t="shared" si="35"/>
        <v>84.6</v>
      </c>
      <c r="H118" s="5">
        <f t="shared" si="36"/>
        <v>16.919999999999998</v>
      </c>
    </row>
    <row r="119" spans="1:17" x14ac:dyDescent="0.35">
      <c r="A119" s="1" t="s">
        <v>1</v>
      </c>
      <c r="B119" s="2">
        <v>15.5</v>
      </c>
      <c r="C119" s="2">
        <v>16.899999999999999</v>
      </c>
      <c r="D119" s="2">
        <v>10.7</v>
      </c>
      <c r="E119" s="2">
        <v>19.600000000000001</v>
      </c>
      <c r="F119" s="2">
        <v>16</v>
      </c>
      <c r="G119" s="2">
        <f t="shared" si="35"/>
        <v>78.699999999999989</v>
      </c>
      <c r="H119" s="5">
        <f t="shared" si="36"/>
        <v>15.739999999999998</v>
      </c>
    </row>
  </sheetData>
  <mergeCells count="57">
    <mergeCell ref="R110:Y110"/>
    <mergeCell ref="R60:Y60"/>
    <mergeCell ref="R20:Y20"/>
    <mergeCell ref="A1:H1"/>
    <mergeCell ref="A2:A4"/>
    <mergeCell ref="B2:F2"/>
    <mergeCell ref="G2:G4"/>
    <mergeCell ref="H2:H4"/>
    <mergeCell ref="B3:F3"/>
    <mergeCell ref="A14:H14"/>
    <mergeCell ref="A15:A17"/>
    <mergeCell ref="B15:F15"/>
    <mergeCell ref="G15:G17"/>
    <mergeCell ref="H15:H17"/>
    <mergeCell ref="B16:F16"/>
    <mergeCell ref="A27:H27"/>
    <mergeCell ref="A28:A30"/>
    <mergeCell ref="B28:F28"/>
    <mergeCell ref="G28:G30"/>
    <mergeCell ref="H28:H30"/>
    <mergeCell ref="B29:F29"/>
    <mergeCell ref="A41:H41"/>
    <mergeCell ref="A42:A44"/>
    <mergeCell ref="B42:F42"/>
    <mergeCell ref="G42:G44"/>
    <mergeCell ref="H42:H44"/>
    <mergeCell ref="B43:F43"/>
    <mergeCell ref="A54:H54"/>
    <mergeCell ref="A55:A57"/>
    <mergeCell ref="B55:F55"/>
    <mergeCell ref="G55:G57"/>
    <mergeCell ref="H55:H57"/>
    <mergeCell ref="B56:F56"/>
    <mergeCell ref="A67:H67"/>
    <mergeCell ref="A68:A70"/>
    <mergeCell ref="B68:F68"/>
    <mergeCell ref="G68:G70"/>
    <mergeCell ref="H68:H70"/>
    <mergeCell ref="B69:F69"/>
    <mergeCell ref="A81:H81"/>
    <mergeCell ref="A82:A84"/>
    <mergeCell ref="B82:F82"/>
    <mergeCell ref="G82:G84"/>
    <mergeCell ref="H82:H84"/>
    <mergeCell ref="B83:F83"/>
    <mergeCell ref="A94:H94"/>
    <mergeCell ref="A95:A97"/>
    <mergeCell ref="B95:F95"/>
    <mergeCell ref="G95:G97"/>
    <mergeCell ref="H95:H97"/>
    <mergeCell ref="B96:F96"/>
    <mergeCell ref="A107:H107"/>
    <mergeCell ref="A108:A110"/>
    <mergeCell ref="B108:F108"/>
    <mergeCell ref="G108:G110"/>
    <mergeCell ref="H108:H110"/>
    <mergeCell ref="B109:F1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9"/>
  <sheetViews>
    <sheetView topLeftCell="G67" workbookViewId="0">
      <selection activeCell="U4" sqref="U4"/>
    </sheetView>
  </sheetViews>
  <sheetFormatPr defaultRowHeight="14.5" x14ac:dyDescent="0.35"/>
  <sheetData>
    <row r="1" spans="1:21" x14ac:dyDescent="0.35">
      <c r="A1" s="30" t="s">
        <v>19</v>
      </c>
      <c r="B1" s="30"/>
      <c r="C1" s="30"/>
      <c r="D1" s="30"/>
      <c r="E1" s="30"/>
      <c r="F1" s="30"/>
      <c r="G1" s="30"/>
      <c r="H1" s="30"/>
    </row>
    <row r="2" spans="1:21" x14ac:dyDescent="0.35">
      <c r="A2" s="26" t="s">
        <v>0</v>
      </c>
      <c r="B2" s="27" t="s">
        <v>10</v>
      </c>
      <c r="C2" s="27"/>
      <c r="D2" s="27"/>
      <c r="E2" s="27"/>
      <c r="F2" s="27"/>
      <c r="G2" s="26" t="s">
        <v>12</v>
      </c>
      <c r="H2" s="26" t="s">
        <v>13</v>
      </c>
      <c r="J2" s="2" t="s">
        <v>28</v>
      </c>
      <c r="K2" s="2" t="s">
        <v>10</v>
      </c>
      <c r="L2" s="2" t="s">
        <v>16</v>
      </c>
      <c r="M2" s="2" t="s">
        <v>20</v>
      </c>
      <c r="N2" s="2" t="s">
        <v>29</v>
      </c>
      <c r="O2" s="2" t="s">
        <v>30</v>
      </c>
      <c r="Q2" s="8" t="s">
        <v>31</v>
      </c>
      <c r="R2" s="9"/>
    </row>
    <row r="3" spans="1:21" x14ac:dyDescent="0.35">
      <c r="A3" s="26"/>
      <c r="B3" s="27" t="s">
        <v>11</v>
      </c>
      <c r="C3" s="27"/>
      <c r="D3" s="27"/>
      <c r="E3" s="27"/>
      <c r="F3" s="27"/>
      <c r="G3" s="26"/>
      <c r="H3" s="26"/>
      <c r="J3" s="2" t="s">
        <v>8</v>
      </c>
      <c r="K3" s="5">
        <f>H12</f>
        <v>9.24</v>
      </c>
      <c r="L3" s="5">
        <f>H20</f>
        <v>9.4</v>
      </c>
      <c r="M3" s="5">
        <f>H35</f>
        <v>3.46</v>
      </c>
      <c r="N3" s="5">
        <f>SUM(K3:M3)</f>
        <v>22.1</v>
      </c>
      <c r="O3" s="19">
        <f>AVERAGE(K3:M3)</f>
        <v>7.3666666666666671</v>
      </c>
      <c r="Q3" s="12"/>
      <c r="R3" s="12" t="s">
        <v>32</v>
      </c>
      <c r="S3" s="12" t="s">
        <v>33</v>
      </c>
      <c r="T3" s="12" t="s">
        <v>49</v>
      </c>
      <c r="U3" s="12" t="s">
        <v>29</v>
      </c>
    </row>
    <row r="4" spans="1:21" x14ac:dyDescent="0.35">
      <c r="A4" s="26"/>
      <c r="B4" s="3">
        <v>1</v>
      </c>
      <c r="C4" s="3">
        <v>2</v>
      </c>
      <c r="D4" s="3">
        <v>3</v>
      </c>
      <c r="E4" s="3">
        <v>4</v>
      </c>
      <c r="F4" s="3">
        <v>5</v>
      </c>
      <c r="G4" s="26"/>
      <c r="H4" s="26"/>
      <c r="J4" s="2" t="s">
        <v>6</v>
      </c>
      <c r="K4" s="5">
        <f>H10</f>
        <v>8.4599999999999991</v>
      </c>
      <c r="L4" s="5">
        <f>H18</f>
        <v>10.199999999999999</v>
      </c>
      <c r="M4" s="5">
        <f>H33</f>
        <v>3.9199999999999995</v>
      </c>
      <c r="N4" s="5">
        <f t="shared" ref="N4:N11" si="0">SUM(K4:M4)</f>
        <v>22.579999999999995</v>
      </c>
      <c r="O4" s="19">
        <f t="shared" ref="O4:O11" si="1">AVERAGE(K4:M4)</f>
        <v>7.5266666666666646</v>
      </c>
      <c r="Q4" s="12" t="s">
        <v>50</v>
      </c>
      <c r="R4" s="11">
        <f>N3</f>
        <v>22.1</v>
      </c>
      <c r="S4" s="11">
        <f>N6</f>
        <v>18.88</v>
      </c>
      <c r="T4" s="11">
        <f>N9</f>
        <v>21.96</v>
      </c>
      <c r="U4" s="11">
        <f>SUM(R4:T4)</f>
        <v>62.940000000000005</v>
      </c>
    </row>
    <row r="5" spans="1:21" x14ac:dyDescent="0.35">
      <c r="A5" s="1" t="s">
        <v>1</v>
      </c>
      <c r="B5" s="4">
        <v>15.5</v>
      </c>
      <c r="C5" s="4">
        <v>12</v>
      </c>
      <c r="D5" s="4">
        <v>13</v>
      </c>
      <c r="E5" s="4">
        <v>10</v>
      </c>
      <c r="F5" s="4">
        <v>11.5</v>
      </c>
      <c r="G5" s="2">
        <f>SUM(B5:F5)</f>
        <v>62</v>
      </c>
      <c r="H5" s="2">
        <f>AVERAGE(B5:F5)</f>
        <v>12.4</v>
      </c>
      <c r="J5" s="2" t="s">
        <v>5</v>
      </c>
      <c r="K5" s="5">
        <f>H9</f>
        <v>10.780000000000001</v>
      </c>
      <c r="L5" s="5">
        <f>H25</f>
        <v>8.1999999999999993</v>
      </c>
      <c r="M5" s="5">
        <f>H34</f>
        <v>3.7800000000000002</v>
      </c>
      <c r="N5" s="5">
        <f t="shared" si="0"/>
        <v>22.76</v>
      </c>
      <c r="O5" s="19">
        <f t="shared" si="1"/>
        <v>7.5866666666666669</v>
      </c>
      <c r="Q5" s="12" t="s">
        <v>51</v>
      </c>
      <c r="R5" s="11">
        <f>N4</f>
        <v>22.579999999999995</v>
      </c>
      <c r="S5" s="11">
        <f>N7</f>
        <v>24</v>
      </c>
      <c r="T5" s="11">
        <f>N10</f>
        <v>21.74</v>
      </c>
      <c r="U5" s="11">
        <f>SUM(R5:T5)</f>
        <v>68.319999999999993</v>
      </c>
    </row>
    <row r="6" spans="1:21" x14ac:dyDescent="0.35">
      <c r="A6" s="1" t="s">
        <v>2</v>
      </c>
      <c r="B6" s="4">
        <v>14</v>
      </c>
      <c r="C6" s="4">
        <v>10.7</v>
      </c>
      <c r="D6" s="4">
        <v>15.6</v>
      </c>
      <c r="E6" s="4">
        <v>12</v>
      </c>
      <c r="F6" s="4">
        <v>10.3</v>
      </c>
      <c r="G6" s="2">
        <f t="shared" ref="G6:G13" si="2">SUM(B6:F6)</f>
        <v>62.599999999999994</v>
      </c>
      <c r="H6" s="2">
        <f t="shared" ref="H6:H13" si="3">AVERAGE(B6:F6)</f>
        <v>12.52</v>
      </c>
      <c r="J6" s="2" t="s">
        <v>3</v>
      </c>
      <c r="K6" s="5">
        <f>H7</f>
        <v>10.6</v>
      </c>
      <c r="L6" s="5">
        <f>H22</f>
        <v>5.26</v>
      </c>
      <c r="M6" s="5">
        <f>H37</f>
        <v>3.0199999999999996</v>
      </c>
      <c r="N6" s="5">
        <f t="shared" si="0"/>
        <v>18.88</v>
      </c>
      <c r="O6" s="19">
        <f t="shared" si="1"/>
        <v>6.293333333333333</v>
      </c>
      <c r="Q6" s="12" t="s">
        <v>52</v>
      </c>
      <c r="R6" s="11">
        <f>N5</f>
        <v>22.76</v>
      </c>
      <c r="S6" s="11">
        <f>N8</f>
        <v>22.22</v>
      </c>
      <c r="T6" s="11">
        <f>N11</f>
        <v>25.58</v>
      </c>
      <c r="U6" s="11">
        <f>SUM(R6:T6)</f>
        <v>70.56</v>
      </c>
    </row>
    <row r="7" spans="1:21" x14ac:dyDescent="0.35">
      <c r="A7" s="1" t="s">
        <v>3</v>
      </c>
      <c r="B7" s="4">
        <v>8</v>
      </c>
      <c r="C7" s="4">
        <v>11.8</v>
      </c>
      <c r="D7" s="4">
        <v>11.2</v>
      </c>
      <c r="E7" s="4">
        <v>13.5</v>
      </c>
      <c r="F7" s="4">
        <v>8.5</v>
      </c>
      <c r="G7" s="2">
        <f t="shared" si="2"/>
        <v>53</v>
      </c>
      <c r="H7" s="2">
        <f t="shared" si="3"/>
        <v>10.6</v>
      </c>
      <c r="J7" s="2" t="s">
        <v>7</v>
      </c>
      <c r="K7" s="5">
        <f>H11</f>
        <v>11.679999999999998</v>
      </c>
      <c r="L7" s="5">
        <f>H23</f>
        <v>9.5</v>
      </c>
      <c r="M7" s="5">
        <f>H31</f>
        <v>2.8200000000000003</v>
      </c>
      <c r="N7" s="5">
        <f t="shared" si="0"/>
        <v>24</v>
      </c>
      <c r="O7" s="19">
        <f t="shared" si="1"/>
        <v>8</v>
      </c>
      <c r="Q7" s="12" t="s">
        <v>29</v>
      </c>
      <c r="R7" s="11">
        <f>SUM(R4:R6)</f>
        <v>67.44</v>
      </c>
      <c r="S7" s="11">
        <f t="shared" ref="S7:U7" si="4">SUM(S4:S6)</f>
        <v>65.099999999999994</v>
      </c>
      <c r="T7" s="11">
        <f t="shared" si="4"/>
        <v>69.28</v>
      </c>
      <c r="U7" s="13">
        <f t="shared" si="4"/>
        <v>201.82</v>
      </c>
    </row>
    <row r="8" spans="1:21" x14ac:dyDescent="0.35">
      <c r="A8" s="1" t="s">
        <v>4</v>
      </c>
      <c r="B8" s="4">
        <v>10.199999999999999</v>
      </c>
      <c r="C8" s="4">
        <v>12.4</v>
      </c>
      <c r="D8" s="4">
        <v>11.6</v>
      </c>
      <c r="E8" s="4">
        <v>9.8000000000000007</v>
      </c>
      <c r="F8" s="4">
        <v>8</v>
      </c>
      <c r="G8" s="4">
        <f t="shared" si="2"/>
        <v>52</v>
      </c>
      <c r="H8" s="5">
        <f t="shared" si="3"/>
        <v>10.4</v>
      </c>
      <c r="J8" s="2" t="s">
        <v>4</v>
      </c>
      <c r="K8" s="5">
        <f>H8</f>
        <v>10.4</v>
      </c>
      <c r="L8" s="5">
        <f>H21</f>
        <v>9.2799999999999994</v>
      </c>
      <c r="M8" s="5">
        <f>H38</f>
        <v>2.54</v>
      </c>
      <c r="N8" s="5">
        <f t="shared" si="0"/>
        <v>22.22</v>
      </c>
      <c r="O8" s="19">
        <f t="shared" si="1"/>
        <v>7.4066666666666663</v>
      </c>
    </row>
    <row r="9" spans="1:21" x14ac:dyDescent="0.35">
      <c r="A9" s="1" t="s">
        <v>5</v>
      </c>
      <c r="B9" s="4">
        <v>8.1999999999999993</v>
      </c>
      <c r="C9" s="4">
        <v>10.5</v>
      </c>
      <c r="D9" s="4">
        <v>13</v>
      </c>
      <c r="E9" s="4">
        <v>11</v>
      </c>
      <c r="F9" s="4">
        <v>11.2</v>
      </c>
      <c r="G9" s="2">
        <f t="shared" si="2"/>
        <v>53.900000000000006</v>
      </c>
      <c r="H9" s="2">
        <f t="shared" si="3"/>
        <v>10.780000000000001</v>
      </c>
      <c r="J9" s="2" t="s">
        <v>1</v>
      </c>
      <c r="K9" s="5">
        <f>H5</f>
        <v>12.4</v>
      </c>
      <c r="L9" s="5">
        <f>H26</f>
        <v>6.0600000000000005</v>
      </c>
      <c r="M9" s="5">
        <f>H39</f>
        <v>3.5</v>
      </c>
      <c r="N9" s="5">
        <f t="shared" si="0"/>
        <v>21.96</v>
      </c>
      <c r="O9" s="19">
        <f t="shared" si="1"/>
        <v>7.32</v>
      </c>
      <c r="Q9" s="14" t="s">
        <v>34</v>
      </c>
      <c r="R9" s="14">
        <f>U7^2/27</f>
        <v>1508.5671259259257</v>
      </c>
    </row>
    <row r="10" spans="1:21" x14ac:dyDescent="0.35">
      <c r="A10" s="1" t="s">
        <v>6</v>
      </c>
      <c r="B10" s="4">
        <v>8.5</v>
      </c>
      <c r="C10" s="4">
        <v>6.8</v>
      </c>
      <c r="D10" s="4">
        <v>8.5</v>
      </c>
      <c r="E10" s="4">
        <v>9</v>
      </c>
      <c r="F10" s="4">
        <v>9.5</v>
      </c>
      <c r="G10" s="2">
        <f t="shared" si="2"/>
        <v>42.3</v>
      </c>
      <c r="H10" s="2">
        <f t="shared" si="3"/>
        <v>8.4599999999999991</v>
      </c>
      <c r="J10" s="2" t="s">
        <v>2</v>
      </c>
      <c r="K10" s="5">
        <f>H6</f>
        <v>12.52</v>
      </c>
      <c r="L10" s="5">
        <f>H24</f>
        <v>5.5200000000000005</v>
      </c>
      <c r="M10" s="5">
        <f>H36</f>
        <v>3.7</v>
      </c>
      <c r="N10" s="5">
        <f t="shared" si="0"/>
        <v>21.74</v>
      </c>
      <c r="O10" s="19">
        <f t="shared" si="1"/>
        <v>7.2466666666666661</v>
      </c>
      <c r="Q10" s="15" t="s">
        <v>35</v>
      </c>
      <c r="R10" s="15">
        <f>SQRT(M22)/O13*100</f>
        <v>21.281843656751398</v>
      </c>
    </row>
    <row r="11" spans="1:21" x14ac:dyDescent="0.35">
      <c r="A11" s="1" t="s">
        <v>7</v>
      </c>
      <c r="B11" s="4">
        <v>10.8</v>
      </c>
      <c r="C11" s="4">
        <v>12</v>
      </c>
      <c r="D11" s="4">
        <v>13.5</v>
      </c>
      <c r="E11" s="4">
        <v>10.4</v>
      </c>
      <c r="F11" s="4">
        <v>11.7</v>
      </c>
      <c r="G11" s="4">
        <f t="shared" si="2"/>
        <v>58.399999999999991</v>
      </c>
      <c r="H11" s="5">
        <f t="shared" si="3"/>
        <v>11.679999999999998</v>
      </c>
      <c r="J11" s="2" t="s">
        <v>9</v>
      </c>
      <c r="K11" s="5">
        <f>H13</f>
        <v>12.74</v>
      </c>
      <c r="L11" s="5">
        <f>H19</f>
        <v>9.16</v>
      </c>
      <c r="M11" s="5">
        <f>H32</f>
        <v>3.6799999999999997</v>
      </c>
      <c r="N11" s="5">
        <f t="shared" si="0"/>
        <v>25.58</v>
      </c>
      <c r="O11" s="19">
        <f t="shared" si="1"/>
        <v>8.5266666666666655</v>
      </c>
    </row>
    <row r="12" spans="1:21" x14ac:dyDescent="0.35">
      <c r="A12" s="1" t="s">
        <v>8</v>
      </c>
      <c r="B12" s="4">
        <v>11.8</v>
      </c>
      <c r="C12" s="4">
        <v>10</v>
      </c>
      <c r="D12" s="4">
        <v>7.5</v>
      </c>
      <c r="E12" s="4">
        <v>8.4</v>
      </c>
      <c r="F12" s="4">
        <v>8.5</v>
      </c>
      <c r="G12" s="2">
        <f t="shared" si="2"/>
        <v>46.2</v>
      </c>
      <c r="H12" s="5">
        <f t="shared" si="3"/>
        <v>9.24</v>
      </c>
      <c r="J12" s="2" t="s">
        <v>12</v>
      </c>
      <c r="K12" s="5">
        <f>SUM(K3:K11)</f>
        <v>98.82</v>
      </c>
      <c r="L12" s="5">
        <f t="shared" ref="L12:N12" si="5">SUM(L3:L11)</f>
        <v>72.580000000000013</v>
      </c>
      <c r="M12" s="5">
        <f>SUM(M3:M11)</f>
        <v>30.419999999999998</v>
      </c>
      <c r="N12" s="20">
        <f t="shared" si="5"/>
        <v>201.82</v>
      </c>
      <c r="O12" s="19"/>
    </row>
    <row r="13" spans="1:21" x14ac:dyDescent="0.35">
      <c r="A13" s="1" t="s">
        <v>9</v>
      </c>
      <c r="B13" s="4">
        <v>12.2</v>
      </c>
      <c r="C13" s="4">
        <v>13.5</v>
      </c>
      <c r="D13" s="4">
        <v>12.8</v>
      </c>
      <c r="E13" s="4">
        <v>11.2</v>
      </c>
      <c r="F13" s="4">
        <v>14</v>
      </c>
      <c r="G13" s="2">
        <f t="shared" si="2"/>
        <v>63.7</v>
      </c>
      <c r="H13" s="2">
        <f t="shared" si="3"/>
        <v>12.74</v>
      </c>
      <c r="J13" s="2" t="s">
        <v>13</v>
      </c>
      <c r="K13" s="19">
        <f>AVERAGE(K3:K11)</f>
        <v>10.979999999999999</v>
      </c>
      <c r="L13" s="19">
        <f t="shared" ref="L13:M13" si="6">AVERAGE(L3:L11)</f>
        <v>8.0644444444444456</v>
      </c>
      <c r="M13" s="19">
        <f t="shared" si="6"/>
        <v>3.38</v>
      </c>
      <c r="N13" s="19"/>
      <c r="O13" s="19">
        <f>AVERAGE(K3:M11)</f>
        <v>7.4748148148148159</v>
      </c>
    </row>
    <row r="14" spans="1:21" x14ac:dyDescent="0.35">
      <c r="J14" s="16"/>
    </row>
    <row r="15" spans="1:21" x14ac:dyDescent="0.35">
      <c r="A15" s="26" t="s">
        <v>0</v>
      </c>
      <c r="B15" s="27" t="s">
        <v>16</v>
      </c>
      <c r="C15" s="27"/>
      <c r="D15" s="27"/>
      <c r="E15" s="27"/>
      <c r="F15" s="27"/>
      <c r="G15" s="26" t="s">
        <v>12</v>
      </c>
      <c r="H15" s="26" t="s">
        <v>13</v>
      </c>
      <c r="J15" s="17" t="s">
        <v>36</v>
      </c>
      <c r="K15" s="9"/>
    </row>
    <row r="16" spans="1:21" x14ac:dyDescent="0.35">
      <c r="A16" s="26"/>
      <c r="B16" s="27" t="s">
        <v>11</v>
      </c>
      <c r="C16" s="27"/>
      <c r="D16" s="27"/>
      <c r="E16" s="27"/>
      <c r="F16" s="27"/>
      <c r="G16" s="26"/>
      <c r="H16" s="26"/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 t="s">
        <v>42</v>
      </c>
      <c r="P16" s="2" t="s">
        <v>43</v>
      </c>
    </row>
    <row r="17" spans="1:25" x14ac:dyDescent="0.35">
      <c r="A17" s="26"/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26"/>
      <c r="H17" s="26"/>
      <c r="J17" s="2" t="s">
        <v>44</v>
      </c>
      <c r="K17" s="6">
        <f>3-1</f>
        <v>2</v>
      </c>
      <c r="L17" s="10">
        <f>SUMSQ(K12:M12)/9-R9</f>
        <v>264.61345185185223</v>
      </c>
      <c r="M17" s="10">
        <f t="shared" ref="M17:M22" si="7">L17/K17</f>
        <v>132.30672592592612</v>
      </c>
      <c r="N17" s="10">
        <f>M17/M22</f>
        <v>52.283246896658703</v>
      </c>
      <c r="O17" s="10">
        <f>FINV(5%,K17,K22)</f>
        <v>3.6337234675916301</v>
      </c>
      <c r="P17" s="2" t="str">
        <f>IF(N17&gt;O17,"*","NS")</f>
        <v>*</v>
      </c>
    </row>
    <row r="18" spans="1:25" x14ac:dyDescent="0.35">
      <c r="A18" s="1" t="s">
        <v>6</v>
      </c>
      <c r="B18" s="4">
        <v>11</v>
      </c>
      <c r="C18" s="4">
        <v>10.5</v>
      </c>
      <c r="D18" s="4">
        <v>12.5</v>
      </c>
      <c r="E18" s="4">
        <v>10.8</v>
      </c>
      <c r="F18" s="4">
        <v>6.2</v>
      </c>
      <c r="G18" s="2">
        <f>SUM(B18:F18)</f>
        <v>51</v>
      </c>
      <c r="H18" s="2">
        <f>AVERAGE(B18:F18)</f>
        <v>10.199999999999999</v>
      </c>
      <c r="J18" s="2" t="s">
        <v>45</v>
      </c>
      <c r="K18" s="2">
        <f>9-1</f>
        <v>8</v>
      </c>
      <c r="L18" s="10">
        <f>SUMSQ(N3:N11)/3-R9</f>
        <v>8.657007407407491</v>
      </c>
      <c r="M18" s="10">
        <f t="shared" si="7"/>
        <v>1.0821259259259364</v>
      </c>
      <c r="N18" s="10">
        <f>M18/M22</f>
        <v>0.42762041432524484</v>
      </c>
      <c r="O18" s="10">
        <f>FINV(5%,K18,K22)</f>
        <v>2.5910961798744014</v>
      </c>
      <c r="P18" s="2" t="str">
        <f>IF(N18&gt;O18,"*","NS")</f>
        <v>NS</v>
      </c>
    </row>
    <row r="19" spans="1:25" x14ac:dyDescent="0.35">
      <c r="A19" s="1" t="s">
        <v>9</v>
      </c>
      <c r="B19" s="4">
        <v>7</v>
      </c>
      <c r="C19" s="4">
        <v>9</v>
      </c>
      <c r="D19" s="4">
        <v>9.8000000000000007</v>
      </c>
      <c r="E19" s="4">
        <v>7.5</v>
      </c>
      <c r="F19" s="4">
        <v>12.5</v>
      </c>
      <c r="G19" s="2">
        <f t="shared" ref="G19:G26" si="8">SUM(B19:F19)</f>
        <v>45.8</v>
      </c>
      <c r="H19" s="2">
        <f t="shared" ref="H19:H26" si="9">AVERAGE(B19:F19)</f>
        <v>9.16</v>
      </c>
      <c r="J19" s="2" t="s">
        <v>46</v>
      </c>
      <c r="K19" s="2">
        <f>3-1</f>
        <v>2</v>
      </c>
      <c r="L19" s="10">
        <f>SUMSQ(R7:T7)/9-R9</f>
        <v>0.97531851851863394</v>
      </c>
      <c r="M19" s="10">
        <f t="shared" si="7"/>
        <v>0.48765925925931697</v>
      </c>
      <c r="N19" s="10">
        <f>M19/M22</f>
        <v>0.19270682782650905</v>
      </c>
      <c r="O19" s="10">
        <f>FINV(5%,K19,K22)</f>
        <v>3.6337234675916301</v>
      </c>
      <c r="P19" s="2" t="str">
        <f>IF(N19&gt;O19,"*","NS")</f>
        <v>NS</v>
      </c>
    </row>
    <row r="20" spans="1:25" x14ac:dyDescent="0.35">
      <c r="A20" s="1" t="s">
        <v>8</v>
      </c>
      <c r="B20" s="4">
        <v>7.5</v>
      </c>
      <c r="C20" s="4">
        <v>11</v>
      </c>
      <c r="D20" s="4">
        <v>10.199999999999999</v>
      </c>
      <c r="E20" s="4">
        <v>8.5</v>
      </c>
      <c r="F20" s="4">
        <v>9.8000000000000007</v>
      </c>
      <c r="G20" s="2">
        <f t="shared" si="8"/>
        <v>47</v>
      </c>
      <c r="H20" s="2">
        <f t="shared" si="9"/>
        <v>9.4</v>
      </c>
      <c r="J20" s="2" t="s">
        <v>53</v>
      </c>
      <c r="K20" s="2">
        <f>3-1</f>
        <v>2</v>
      </c>
      <c r="L20" s="10">
        <f>SUMSQ(U4:U6)/9-R9</f>
        <v>3.408385185185125</v>
      </c>
      <c r="M20" s="10">
        <f t="shared" si="7"/>
        <v>1.7041925925925625</v>
      </c>
      <c r="N20" s="10">
        <f>M20/M22</f>
        <v>0.67344060896691071</v>
      </c>
      <c r="O20" s="10">
        <f>FINV(5%,K20,K22)</f>
        <v>3.6337234675916301</v>
      </c>
      <c r="P20" s="2" t="str">
        <f>IF(N20&gt;O20,"*","NS")</f>
        <v>NS</v>
      </c>
      <c r="R20" s="33" t="s">
        <v>78</v>
      </c>
      <c r="S20" s="33"/>
      <c r="T20" s="33"/>
      <c r="U20" s="33"/>
      <c r="V20" s="33"/>
      <c r="W20" s="33"/>
      <c r="X20" s="33"/>
      <c r="Y20" s="33"/>
    </row>
    <row r="21" spans="1:25" x14ac:dyDescent="0.35">
      <c r="A21" s="1" t="s">
        <v>4</v>
      </c>
      <c r="B21" s="4">
        <v>11</v>
      </c>
      <c r="C21" s="4">
        <v>10</v>
      </c>
      <c r="D21" s="4">
        <v>7.2</v>
      </c>
      <c r="E21" s="4">
        <v>11.2</v>
      </c>
      <c r="F21" s="4">
        <v>7</v>
      </c>
      <c r="G21" s="2">
        <f t="shared" si="8"/>
        <v>46.4</v>
      </c>
      <c r="H21" s="5">
        <f t="shared" si="9"/>
        <v>9.2799999999999994</v>
      </c>
      <c r="J21" s="2" t="s">
        <v>54</v>
      </c>
      <c r="K21" s="2">
        <f>K19*K20</f>
        <v>4</v>
      </c>
      <c r="L21" s="10">
        <f>L18-L19-L20</f>
        <v>4.273303703703732</v>
      </c>
      <c r="M21" s="10">
        <f t="shared" si="7"/>
        <v>1.068325925925933</v>
      </c>
      <c r="N21" s="10">
        <f>M21/M22</f>
        <v>0.42216711025377973</v>
      </c>
      <c r="O21" s="10">
        <f>FINV(5%,K21,K22)</f>
        <v>3.0069172799243447</v>
      </c>
      <c r="P21" s="2" t="str">
        <f>IF(N21&gt;O21,"*","NS")</f>
        <v>NS</v>
      </c>
    </row>
    <row r="22" spans="1:25" x14ac:dyDescent="0.35">
      <c r="A22" s="1" t="s">
        <v>3</v>
      </c>
      <c r="B22" s="4">
        <v>4</v>
      </c>
      <c r="C22" s="4">
        <v>5</v>
      </c>
      <c r="D22" s="4">
        <v>5.5</v>
      </c>
      <c r="E22" s="4">
        <v>5.8</v>
      </c>
      <c r="F22" s="4">
        <v>6</v>
      </c>
      <c r="G22" s="2">
        <f t="shared" si="8"/>
        <v>26.3</v>
      </c>
      <c r="H22" s="2">
        <f t="shared" si="9"/>
        <v>5.26</v>
      </c>
      <c r="J22" s="2" t="s">
        <v>47</v>
      </c>
      <c r="K22" s="2">
        <f>K23-K18-K17</f>
        <v>16</v>
      </c>
      <c r="L22" s="10">
        <f>L23-L18-L17</f>
        <v>40.489214814814886</v>
      </c>
      <c r="M22" s="10">
        <f t="shared" si="7"/>
        <v>2.5305759259259304</v>
      </c>
      <c r="N22" s="18"/>
      <c r="O22" s="18"/>
      <c r="P22" s="6"/>
      <c r="Q22" s="6"/>
    </row>
    <row r="23" spans="1:25" x14ac:dyDescent="0.35">
      <c r="A23" s="1" t="s">
        <v>7</v>
      </c>
      <c r="B23" s="4">
        <v>8</v>
      </c>
      <c r="C23" s="4">
        <v>11.2</v>
      </c>
      <c r="D23" s="4">
        <v>9.5</v>
      </c>
      <c r="E23" s="4">
        <v>8.8000000000000007</v>
      </c>
      <c r="F23" s="4">
        <v>10</v>
      </c>
      <c r="G23" s="2">
        <f t="shared" si="8"/>
        <v>47.5</v>
      </c>
      <c r="H23" s="2">
        <f t="shared" si="9"/>
        <v>9.5</v>
      </c>
      <c r="J23" s="2" t="s">
        <v>48</v>
      </c>
      <c r="K23" s="2">
        <f>27-1</f>
        <v>26</v>
      </c>
      <c r="L23" s="10">
        <f>SUMSQ(K3:M11)-R9</f>
        <v>313.75967407407461</v>
      </c>
      <c r="M23" s="18"/>
      <c r="N23" s="18"/>
      <c r="O23" s="18"/>
      <c r="P23" s="6"/>
      <c r="Q23" s="6"/>
    </row>
    <row r="24" spans="1:25" x14ac:dyDescent="0.35">
      <c r="A24" s="1" t="s">
        <v>2</v>
      </c>
      <c r="B24" s="4">
        <v>5.5</v>
      </c>
      <c r="C24" s="4">
        <v>5</v>
      </c>
      <c r="D24" s="4">
        <v>6.8</v>
      </c>
      <c r="E24" s="4">
        <v>4</v>
      </c>
      <c r="F24" s="4">
        <v>6.3</v>
      </c>
      <c r="G24" s="2">
        <f t="shared" si="8"/>
        <v>27.6</v>
      </c>
      <c r="H24" s="5">
        <f t="shared" si="9"/>
        <v>5.5200000000000005</v>
      </c>
    </row>
    <row r="25" spans="1:25" x14ac:dyDescent="0.35">
      <c r="A25" s="1" t="s">
        <v>5</v>
      </c>
      <c r="B25" s="4">
        <v>4</v>
      </c>
      <c r="C25" s="4">
        <v>6.3</v>
      </c>
      <c r="D25" s="4">
        <v>13.2</v>
      </c>
      <c r="E25" s="4">
        <v>7</v>
      </c>
      <c r="F25" s="4">
        <v>10.5</v>
      </c>
      <c r="G25" s="2">
        <f t="shared" si="8"/>
        <v>41</v>
      </c>
      <c r="H25" s="5">
        <f t="shared" si="9"/>
        <v>8.1999999999999993</v>
      </c>
    </row>
    <row r="26" spans="1:25" x14ac:dyDescent="0.35">
      <c r="A26" s="1" t="s">
        <v>1</v>
      </c>
      <c r="B26" s="4">
        <v>6.5</v>
      </c>
      <c r="C26" s="4">
        <v>5.5</v>
      </c>
      <c r="D26" s="4">
        <v>8</v>
      </c>
      <c r="E26" s="4">
        <v>6</v>
      </c>
      <c r="F26" s="4">
        <v>4.3</v>
      </c>
      <c r="G26" s="2">
        <f t="shared" si="8"/>
        <v>30.3</v>
      </c>
      <c r="H26" s="2">
        <f t="shared" si="9"/>
        <v>6.0600000000000005</v>
      </c>
    </row>
    <row r="28" spans="1:25" x14ac:dyDescent="0.35">
      <c r="A28" s="26" t="s">
        <v>0</v>
      </c>
      <c r="B28" s="27" t="s">
        <v>20</v>
      </c>
      <c r="C28" s="27"/>
      <c r="D28" s="27"/>
      <c r="E28" s="27"/>
      <c r="F28" s="27"/>
      <c r="G28" s="26" t="s">
        <v>12</v>
      </c>
      <c r="H28" s="26" t="s">
        <v>13</v>
      </c>
    </row>
    <row r="29" spans="1:25" x14ac:dyDescent="0.35">
      <c r="A29" s="26"/>
      <c r="B29" s="27" t="s">
        <v>11</v>
      </c>
      <c r="C29" s="27"/>
      <c r="D29" s="27"/>
      <c r="E29" s="27"/>
      <c r="F29" s="27"/>
      <c r="G29" s="26"/>
      <c r="H29" s="26"/>
    </row>
    <row r="30" spans="1:25" x14ac:dyDescent="0.35">
      <c r="A30" s="26"/>
      <c r="B30" s="3">
        <v>1</v>
      </c>
      <c r="C30" s="3">
        <v>2</v>
      </c>
      <c r="D30" s="3">
        <v>3</v>
      </c>
      <c r="E30" s="3">
        <v>4</v>
      </c>
      <c r="F30" s="3">
        <v>5</v>
      </c>
      <c r="G30" s="26"/>
      <c r="H30" s="26"/>
    </row>
    <row r="31" spans="1:25" x14ac:dyDescent="0.35">
      <c r="A31" s="1" t="s">
        <v>7</v>
      </c>
      <c r="B31" s="2">
        <v>3.5</v>
      </c>
      <c r="C31" s="2">
        <v>2.1</v>
      </c>
      <c r="D31" s="2">
        <v>2.7</v>
      </c>
      <c r="E31" s="4">
        <v>2.9</v>
      </c>
      <c r="F31" s="2">
        <v>2.9</v>
      </c>
      <c r="G31" s="2">
        <f>SUM(B31:F31)</f>
        <v>14.100000000000001</v>
      </c>
      <c r="H31" s="2">
        <f>AVERAGE(B31:F31)</f>
        <v>2.8200000000000003</v>
      </c>
    </row>
    <row r="32" spans="1:25" x14ac:dyDescent="0.35">
      <c r="A32" s="1" t="s">
        <v>9</v>
      </c>
      <c r="B32" s="2">
        <v>4.5</v>
      </c>
      <c r="C32" s="2">
        <v>3.5</v>
      </c>
      <c r="D32" s="4">
        <v>4</v>
      </c>
      <c r="E32" s="2">
        <v>2.7</v>
      </c>
      <c r="F32" s="2">
        <v>3.7</v>
      </c>
      <c r="G32" s="2">
        <f t="shared" ref="G32:G39" si="10">SUM(B32:F32)</f>
        <v>18.399999999999999</v>
      </c>
      <c r="H32" s="2">
        <f t="shared" ref="H32:H39" si="11">AVERAGE(B32:F32)</f>
        <v>3.6799999999999997</v>
      </c>
    </row>
    <row r="33" spans="1:21" x14ac:dyDescent="0.35">
      <c r="A33" s="1" t="s">
        <v>6</v>
      </c>
      <c r="B33" s="2">
        <v>3.7</v>
      </c>
      <c r="C33" s="2">
        <v>3.5</v>
      </c>
      <c r="D33" s="2">
        <v>4.5</v>
      </c>
      <c r="E33" s="2">
        <v>4.2</v>
      </c>
      <c r="F33" s="2">
        <v>3.7</v>
      </c>
      <c r="G33" s="2">
        <f t="shared" si="10"/>
        <v>19.599999999999998</v>
      </c>
      <c r="H33" s="2">
        <f t="shared" si="11"/>
        <v>3.9199999999999995</v>
      </c>
    </row>
    <row r="34" spans="1:21" x14ac:dyDescent="0.35">
      <c r="A34" s="1" t="s">
        <v>5</v>
      </c>
      <c r="B34" s="4">
        <v>4</v>
      </c>
      <c r="C34" s="2">
        <v>3.7</v>
      </c>
      <c r="D34" s="2">
        <v>4.0999999999999996</v>
      </c>
      <c r="E34" s="2">
        <v>3.8</v>
      </c>
      <c r="F34" s="2">
        <v>3.3</v>
      </c>
      <c r="G34" s="2">
        <f t="shared" si="10"/>
        <v>18.900000000000002</v>
      </c>
      <c r="H34" s="5">
        <f t="shared" si="11"/>
        <v>3.7800000000000002</v>
      </c>
    </row>
    <row r="35" spans="1:21" x14ac:dyDescent="0.35">
      <c r="A35" s="1" t="s">
        <v>8</v>
      </c>
      <c r="B35" s="2">
        <v>3.1</v>
      </c>
      <c r="C35" s="2">
        <v>3.2</v>
      </c>
      <c r="D35" s="2">
        <v>3.8</v>
      </c>
      <c r="E35" s="4">
        <v>3.5</v>
      </c>
      <c r="F35" s="2">
        <v>3.7</v>
      </c>
      <c r="G35" s="2">
        <f t="shared" si="10"/>
        <v>17.3</v>
      </c>
      <c r="H35" s="2">
        <f t="shared" si="11"/>
        <v>3.46</v>
      </c>
    </row>
    <row r="36" spans="1:21" x14ac:dyDescent="0.35">
      <c r="A36" s="1" t="s">
        <v>2</v>
      </c>
      <c r="B36" s="2">
        <v>3.6</v>
      </c>
      <c r="C36" s="2">
        <v>4.5</v>
      </c>
      <c r="D36" s="2">
        <v>3.4</v>
      </c>
      <c r="E36" s="2">
        <v>3.3</v>
      </c>
      <c r="F36" s="2">
        <v>3.7</v>
      </c>
      <c r="G36" s="2">
        <f t="shared" si="10"/>
        <v>18.5</v>
      </c>
      <c r="H36" s="5">
        <f t="shared" si="11"/>
        <v>3.7</v>
      </c>
    </row>
    <row r="37" spans="1:21" x14ac:dyDescent="0.35">
      <c r="A37" s="1" t="s">
        <v>3</v>
      </c>
      <c r="B37" s="2">
        <v>2.9</v>
      </c>
      <c r="C37" s="2">
        <v>3.1</v>
      </c>
      <c r="D37" s="2">
        <v>3.1</v>
      </c>
      <c r="E37" s="2">
        <v>2.8</v>
      </c>
      <c r="F37" s="4">
        <v>3.2</v>
      </c>
      <c r="G37" s="2">
        <f t="shared" si="10"/>
        <v>15.099999999999998</v>
      </c>
      <c r="H37" s="5">
        <f t="shared" si="11"/>
        <v>3.0199999999999996</v>
      </c>
    </row>
    <row r="38" spans="1:21" x14ac:dyDescent="0.35">
      <c r="A38" s="1" t="s">
        <v>4</v>
      </c>
      <c r="B38" s="2">
        <v>2.9</v>
      </c>
      <c r="C38" s="2">
        <v>2.4</v>
      </c>
      <c r="D38" s="2">
        <v>2.4</v>
      </c>
      <c r="E38" s="2">
        <v>2.1</v>
      </c>
      <c r="F38" s="2">
        <v>2.9</v>
      </c>
      <c r="G38" s="2">
        <f t="shared" si="10"/>
        <v>12.7</v>
      </c>
      <c r="H38" s="5">
        <f t="shared" si="11"/>
        <v>2.54</v>
      </c>
    </row>
    <row r="39" spans="1:21" x14ac:dyDescent="0.35">
      <c r="A39" s="1" t="s">
        <v>1</v>
      </c>
      <c r="B39" s="2">
        <v>3.6</v>
      </c>
      <c r="C39" s="2">
        <v>4.3</v>
      </c>
      <c r="D39" s="2">
        <v>3.4</v>
      </c>
      <c r="E39" s="2">
        <v>3.1</v>
      </c>
      <c r="F39" s="2">
        <v>3.1</v>
      </c>
      <c r="G39" s="2">
        <f t="shared" si="10"/>
        <v>17.5</v>
      </c>
      <c r="H39" s="5">
        <f t="shared" si="11"/>
        <v>3.5</v>
      </c>
    </row>
    <row r="41" spans="1:21" x14ac:dyDescent="0.35">
      <c r="A41" s="30" t="s">
        <v>21</v>
      </c>
      <c r="B41" s="30"/>
      <c r="C41" s="30"/>
      <c r="D41" s="30"/>
      <c r="E41" s="30"/>
      <c r="F41" s="30"/>
      <c r="G41" s="30"/>
      <c r="H41" s="30"/>
    </row>
    <row r="42" spans="1:21" x14ac:dyDescent="0.35">
      <c r="A42" s="26" t="s">
        <v>0</v>
      </c>
      <c r="B42" s="27" t="s">
        <v>10</v>
      </c>
      <c r="C42" s="27"/>
      <c r="D42" s="27"/>
      <c r="E42" s="27"/>
      <c r="F42" s="27"/>
      <c r="G42" s="26" t="s">
        <v>12</v>
      </c>
      <c r="H42" s="26" t="s">
        <v>13</v>
      </c>
      <c r="J42" s="2" t="s">
        <v>28</v>
      </c>
      <c r="K42" s="2" t="s">
        <v>10</v>
      </c>
      <c r="L42" s="2" t="s">
        <v>16</v>
      </c>
      <c r="M42" s="2" t="s">
        <v>20</v>
      </c>
      <c r="N42" s="2" t="s">
        <v>29</v>
      </c>
      <c r="O42" s="2" t="s">
        <v>30</v>
      </c>
      <c r="Q42" s="8" t="s">
        <v>31</v>
      </c>
      <c r="R42" s="9"/>
    </row>
    <row r="43" spans="1:21" x14ac:dyDescent="0.35">
      <c r="A43" s="26"/>
      <c r="B43" s="27" t="s">
        <v>11</v>
      </c>
      <c r="C43" s="27"/>
      <c r="D43" s="27"/>
      <c r="E43" s="27"/>
      <c r="F43" s="27"/>
      <c r="G43" s="26"/>
      <c r="H43" s="26"/>
      <c r="J43" s="2" t="s">
        <v>8</v>
      </c>
      <c r="K43" s="5">
        <f>H52</f>
        <v>20.38</v>
      </c>
      <c r="L43" s="5">
        <f>H60</f>
        <v>19.66</v>
      </c>
      <c r="M43" s="5">
        <f>H75</f>
        <v>16.3</v>
      </c>
      <c r="N43" s="5">
        <f>SUM(K43:M43)</f>
        <v>56.34</v>
      </c>
      <c r="O43" s="19">
        <f>AVERAGE(K43:M43)</f>
        <v>18.78</v>
      </c>
      <c r="Q43" s="12"/>
      <c r="R43" s="12" t="s">
        <v>32</v>
      </c>
      <c r="S43" s="12" t="s">
        <v>33</v>
      </c>
      <c r="T43" s="12" t="s">
        <v>49</v>
      </c>
      <c r="U43" s="12" t="s">
        <v>29</v>
      </c>
    </row>
    <row r="44" spans="1:21" x14ac:dyDescent="0.35">
      <c r="A44" s="26"/>
      <c r="B44" s="3">
        <v>1</v>
      </c>
      <c r="C44" s="3">
        <v>2</v>
      </c>
      <c r="D44" s="3">
        <v>3</v>
      </c>
      <c r="E44" s="3">
        <v>4</v>
      </c>
      <c r="F44" s="3">
        <v>5</v>
      </c>
      <c r="G44" s="26"/>
      <c r="H44" s="26"/>
      <c r="J44" s="2" t="s">
        <v>6</v>
      </c>
      <c r="K44" s="5">
        <f>H50</f>
        <v>17.3</v>
      </c>
      <c r="L44" s="5">
        <f>H58</f>
        <v>19.100000000000001</v>
      </c>
      <c r="M44" s="5">
        <f>H73</f>
        <v>16.5</v>
      </c>
      <c r="N44" s="5">
        <f t="shared" ref="N44:N51" si="12">SUM(K44:M44)</f>
        <v>52.900000000000006</v>
      </c>
      <c r="O44" s="19">
        <f t="shared" ref="O44:O51" si="13">AVERAGE(K44:M44)</f>
        <v>17.633333333333336</v>
      </c>
      <c r="Q44" s="12" t="s">
        <v>50</v>
      </c>
      <c r="R44" s="11">
        <f>N43</f>
        <v>56.34</v>
      </c>
      <c r="S44" s="11">
        <f>N46</f>
        <v>49.900000000000006</v>
      </c>
      <c r="T44" s="11">
        <f>N49</f>
        <v>54.400000000000006</v>
      </c>
      <c r="U44" s="11">
        <f>SUM(R44:T44)</f>
        <v>160.64000000000001</v>
      </c>
    </row>
    <row r="45" spans="1:21" x14ac:dyDescent="0.35">
      <c r="A45" s="1" t="s">
        <v>1</v>
      </c>
      <c r="B45" s="4">
        <v>21.5</v>
      </c>
      <c r="C45" s="4">
        <v>19.5</v>
      </c>
      <c r="D45" s="4">
        <v>25</v>
      </c>
      <c r="E45" s="4">
        <v>20.8</v>
      </c>
      <c r="F45" s="4">
        <v>21</v>
      </c>
      <c r="G45" s="2">
        <f>SUM(B45:F45)</f>
        <v>107.8</v>
      </c>
      <c r="H45" s="2">
        <f>AVERAGE(B45:F45)</f>
        <v>21.56</v>
      </c>
      <c r="J45" s="2" t="s">
        <v>5</v>
      </c>
      <c r="K45" s="5">
        <f>H49</f>
        <v>19.999999999999996</v>
      </c>
      <c r="L45" s="5">
        <f>H65</f>
        <v>14.680000000000001</v>
      </c>
      <c r="M45" s="5">
        <f>H74</f>
        <v>17.34</v>
      </c>
      <c r="N45" s="5">
        <f t="shared" si="12"/>
        <v>52.019999999999996</v>
      </c>
      <c r="O45" s="19">
        <f t="shared" si="13"/>
        <v>17.34</v>
      </c>
      <c r="Q45" s="12" t="s">
        <v>51</v>
      </c>
      <c r="R45" s="11">
        <f>N44</f>
        <v>52.900000000000006</v>
      </c>
      <c r="S45" s="11">
        <f>N47</f>
        <v>51.76</v>
      </c>
      <c r="T45" s="11">
        <f>N50</f>
        <v>53.019999999999996</v>
      </c>
      <c r="U45" s="11">
        <f>SUM(R45:T45)</f>
        <v>157.68</v>
      </c>
    </row>
    <row r="46" spans="1:21" x14ac:dyDescent="0.35">
      <c r="A46" s="1" t="s">
        <v>2</v>
      </c>
      <c r="B46" s="4">
        <v>21.5</v>
      </c>
      <c r="C46" s="4">
        <v>20.5</v>
      </c>
      <c r="D46" s="4">
        <v>23.5</v>
      </c>
      <c r="E46" s="4">
        <v>17</v>
      </c>
      <c r="F46" s="4">
        <v>20</v>
      </c>
      <c r="G46" s="2">
        <f t="shared" ref="G46:G53" si="14">SUM(B46:F46)</f>
        <v>102.5</v>
      </c>
      <c r="H46" s="2">
        <f t="shared" ref="H46:H53" si="15">AVERAGE(B46:F46)</f>
        <v>20.5</v>
      </c>
      <c r="J46" s="2" t="s">
        <v>3</v>
      </c>
      <c r="K46" s="5">
        <f>H47</f>
        <v>20.100000000000001</v>
      </c>
      <c r="L46" s="5">
        <f>H62</f>
        <v>13.080000000000002</v>
      </c>
      <c r="M46" s="5">
        <f>H77</f>
        <v>16.72</v>
      </c>
      <c r="N46" s="5">
        <f t="shared" si="12"/>
        <v>49.900000000000006</v>
      </c>
      <c r="O46" s="19">
        <f t="shared" si="13"/>
        <v>16.633333333333336</v>
      </c>
      <c r="Q46" s="12" t="s">
        <v>52</v>
      </c>
      <c r="R46" s="11">
        <f>N45</f>
        <v>52.019999999999996</v>
      </c>
      <c r="S46" s="11">
        <f>N48</f>
        <v>48.120000000000005</v>
      </c>
      <c r="T46" s="11">
        <f>N51</f>
        <v>56.82</v>
      </c>
      <c r="U46" s="11">
        <f>SUM(R46:T46)</f>
        <v>156.96</v>
      </c>
    </row>
    <row r="47" spans="1:21" x14ac:dyDescent="0.35">
      <c r="A47" s="1" t="s">
        <v>3</v>
      </c>
      <c r="B47" s="4">
        <v>17.5</v>
      </c>
      <c r="C47" s="4">
        <v>24</v>
      </c>
      <c r="D47" s="4">
        <v>17</v>
      </c>
      <c r="E47" s="4">
        <v>25</v>
      </c>
      <c r="F47" s="4">
        <v>17</v>
      </c>
      <c r="G47" s="2">
        <f t="shared" si="14"/>
        <v>100.5</v>
      </c>
      <c r="H47" s="2">
        <f t="shared" si="15"/>
        <v>20.100000000000001</v>
      </c>
      <c r="J47" s="2" t="s">
        <v>7</v>
      </c>
      <c r="K47" s="5">
        <f>H51</f>
        <v>20.14</v>
      </c>
      <c r="L47" s="5">
        <f>H63</f>
        <v>18.619999999999997</v>
      </c>
      <c r="M47" s="5">
        <f>H71</f>
        <v>13</v>
      </c>
      <c r="N47" s="5">
        <f t="shared" si="12"/>
        <v>51.76</v>
      </c>
      <c r="O47" s="19">
        <f t="shared" si="13"/>
        <v>17.253333333333334</v>
      </c>
      <c r="Q47" s="12" t="s">
        <v>29</v>
      </c>
      <c r="R47" s="11">
        <f>SUM(R44:R46)</f>
        <v>161.26</v>
      </c>
      <c r="S47" s="11">
        <f t="shared" ref="S47:U47" si="16">SUM(S44:S46)</f>
        <v>149.78</v>
      </c>
      <c r="T47" s="11">
        <f t="shared" si="16"/>
        <v>164.24</v>
      </c>
      <c r="U47" s="13">
        <f t="shared" si="16"/>
        <v>475.28000000000009</v>
      </c>
    </row>
    <row r="48" spans="1:21" x14ac:dyDescent="0.35">
      <c r="A48" s="1" t="s">
        <v>4</v>
      </c>
      <c r="B48" s="4">
        <v>18</v>
      </c>
      <c r="C48" s="4">
        <v>22</v>
      </c>
      <c r="D48" s="4">
        <v>17</v>
      </c>
      <c r="E48" s="4">
        <v>15.4</v>
      </c>
      <c r="F48" s="4">
        <v>14.6</v>
      </c>
      <c r="G48" s="4">
        <f t="shared" si="14"/>
        <v>87</v>
      </c>
      <c r="H48" s="5">
        <f t="shared" si="15"/>
        <v>17.399999999999999</v>
      </c>
      <c r="J48" s="2" t="s">
        <v>4</v>
      </c>
      <c r="K48" s="5">
        <f>H48</f>
        <v>17.399999999999999</v>
      </c>
      <c r="L48" s="5">
        <f>H61</f>
        <v>17.88</v>
      </c>
      <c r="M48" s="5">
        <f>H78</f>
        <v>12.84</v>
      </c>
      <c r="N48" s="5">
        <f t="shared" si="12"/>
        <v>48.120000000000005</v>
      </c>
      <c r="O48" s="19">
        <f t="shared" si="13"/>
        <v>16.040000000000003</v>
      </c>
    </row>
    <row r="49" spans="1:25" x14ac:dyDescent="0.35">
      <c r="A49" s="1" t="s">
        <v>5</v>
      </c>
      <c r="B49" s="4">
        <v>17.399999999999999</v>
      </c>
      <c r="C49" s="4">
        <v>21.7</v>
      </c>
      <c r="D49" s="4">
        <v>21.8</v>
      </c>
      <c r="E49" s="4">
        <v>19.8</v>
      </c>
      <c r="F49" s="4">
        <v>19.3</v>
      </c>
      <c r="G49" s="2">
        <f t="shared" si="14"/>
        <v>99.999999999999986</v>
      </c>
      <c r="H49" s="2">
        <f t="shared" si="15"/>
        <v>19.999999999999996</v>
      </c>
      <c r="J49" s="2" t="s">
        <v>1</v>
      </c>
      <c r="K49" s="5">
        <f>H45</f>
        <v>21.56</v>
      </c>
      <c r="L49" s="5">
        <f>H66</f>
        <v>15.040000000000001</v>
      </c>
      <c r="M49" s="5">
        <f>H79</f>
        <v>17.8</v>
      </c>
      <c r="N49" s="5">
        <f t="shared" si="12"/>
        <v>54.400000000000006</v>
      </c>
      <c r="O49" s="19">
        <f t="shared" si="13"/>
        <v>18.133333333333336</v>
      </c>
      <c r="Q49" s="14" t="s">
        <v>34</v>
      </c>
      <c r="R49" s="14">
        <f>U47^2/27</f>
        <v>8366.3362370370396</v>
      </c>
    </row>
    <row r="50" spans="1:25" x14ac:dyDescent="0.35">
      <c r="A50" s="1" t="s">
        <v>6</v>
      </c>
      <c r="B50" s="4">
        <v>16.8</v>
      </c>
      <c r="C50" s="4">
        <v>14</v>
      </c>
      <c r="D50" s="4">
        <v>16.7</v>
      </c>
      <c r="E50" s="4">
        <v>16</v>
      </c>
      <c r="F50" s="4">
        <v>23</v>
      </c>
      <c r="G50" s="2">
        <f t="shared" si="14"/>
        <v>86.5</v>
      </c>
      <c r="H50" s="2">
        <f t="shared" si="15"/>
        <v>17.3</v>
      </c>
      <c r="J50" s="2" t="s">
        <v>2</v>
      </c>
      <c r="K50" s="5">
        <f>H46</f>
        <v>20.5</v>
      </c>
      <c r="L50" s="5">
        <f>H64</f>
        <v>14.26</v>
      </c>
      <c r="M50" s="5">
        <f>H76</f>
        <v>18.259999999999998</v>
      </c>
      <c r="N50" s="5">
        <f t="shared" si="12"/>
        <v>53.019999999999996</v>
      </c>
      <c r="O50" s="19">
        <f t="shared" si="13"/>
        <v>17.673333333333332</v>
      </c>
      <c r="Q50" s="15" t="s">
        <v>35</v>
      </c>
      <c r="R50" s="15">
        <f>SQRT(M62)/O53*100</f>
        <v>12.516550476445667</v>
      </c>
    </row>
    <row r="51" spans="1:25" x14ac:dyDescent="0.35">
      <c r="A51" s="1" t="s">
        <v>7</v>
      </c>
      <c r="B51" s="4">
        <v>17</v>
      </c>
      <c r="C51" s="4">
        <v>22.6</v>
      </c>
      <c r="D51" s="4">
        <v>20</v>
      </c>
      <c r="E51" s="4">
        <v>17.3</v>
      </c>
      <c r="F51" s="4">
        <v>23.8</v>
      </c>
      <c r="G51" s="4">
        <f t="shared" si="14"/>
        <v>100.7</v>
      </c>
      <c r="H51" s="5">
        <f t="shared" si="15"/>
        <v>20.14</v>
      </c>
      <c r="J51" s="2" t="s">
        <v>9</v>
      </c>
      <c r="K51" s="5">
        <f>H53</f>
        <v>20.62</v>
      </c>
      <c r="L51" s="5">
        <f>H59</f>
        <v>19.100000000000001</v>
      </c>
      <c r="M51" s="5">
        <f>H72</f>
        <v>17.100000000000001</v>
      </c>
      <c r="N51" s="5">
        <f t="shared" si="12"/>
        <v>56.82</v>
      </c>
      <c r="O51" s="19">
        <f t="shared" si="13"/>
        <v>18.940000000000001</v>
      </c>
    </row>
    <row r="52" spans="1:25" x14ac:dyDescent="0.35">
      <c r="A52" s="1" t="s">
        <v>8</v>
      </c>
      <c r="B52" s="4">
        <v>20.5</v>
      </c>
      <c r="C52" s="4">
        <v>25</v>
      </c>
      <c r="D52" s="4">
        <v>18</v>
      </c>
      <c r="E52" s="4">
        <v>17.600000000000001</v>
      </c>
      <c r="F52" s="4">
        <v>20.8</v>
      </c>
      <c r="G52" s="2">
        <f t="shared" si="14"/>
        <v>101.89999999999999</v>
      </c>
      <c r="H52" s="5">
        <f t="shared" si="15"/>
        <v>20.38</v>
      </c>
      <c r="J52" s="2" t="s">
        <v>12</v>
      </c>
      <c r="K52" s="5">
        <f>SUM(K43:K51)</f>
        <v>178</v>
      </c>
      <c r="L52" s="5">
        <f t="shared" ref="L52" si="17">SUM(L43:L51)</f>
        <v>151.42000000000002</v>
      </c>
      <c r="M52" s="5">
        <f>SUM(M43:M51)</f>
        <v>145.85999999999999</v>
      </c>
      <c r="N52" s="20">
        <f t="shared" ref="N52" si="18">SUM(N43:N51)</f>
        <v>475.28000000000003</v>
      </c>
      <c r="O52" s="19"/>
    </row>
    <row r="53" spans="1:25" x14ac:dyDescent="0.35">
      <c r="A53" s="1" t="s">
        <v>9</v>
      </c>
      <c r="B53" s="4">
        <v>20.8</v>
      </c>
      <c r="C53" s="4">
        <v>22.3</v>
      </c>
      <c r="D53" s="4">
        <v>19.600000000000001</v>
      </c>
      <c r="E53" s="4">
        <v>21.2</v>
      </c>
      <c r="F53" s="4">
        <v>19.2</v>
      </c>
      <c r="G53" s="2">
        <f t="shared" si="14"/>
        <v>103.10000000000001</v>
      </c>
      <c r="H53" s="2">
        <f t="shared" si="15"/>
        <v>20.62</v>
      </c>
      <c r="J53" s="2" t="s">
        <v>13</v>
      </c>
      <c r="K53" s="19">
        <f>AVERAGE(K43:K51)</f>
        <v>19.777777777777779</v>
      </c>
      <c r="L53" s="19">
        <f t="shared" ref="L53:M53" si="19">AVERAGE(L43:L51)</f>
        <v>16.824444444444445</v>
      </c>
      <c r="M53" s="19">
        <f t="shared" si="19"/>
        <v>16.206666666666663</v>
      </c>
      <c r="N53" s="19"/>
      <c r="O53" s="19">
        <f>AVERAGE(K43:M51)</f>
        <v>17.602962962962962</v>
      </c>
    </row>
    <row r="54" spans="1:25" x14ac:dyDescent="0.35">
      <c r="J54" s="16"/>
    </row>
    <row r="55" spans="1:25" x14ac:dyDescent="0.35">
      <c r="A55" s="26" t="s">
        <v>0</v>
      </c>
      <c r="B55" s="27" t="s">
        <v>16</v>
      </c>
      <c r="C55" s="27"/>
      <c r="D55" s="27"/>
      <c r="E55" s="27"/>
      <c r="F55" s="27"/>
      <c r="G55" s="26" t="s">
        <v>12</v>
      </c>
      <c r="H55" s="26" t="s">
        <v>13</v>
      </c>
      <c r="J55" s="17" t="s">
        <v>36</v>
      </c>
      <c r="K55" s="9"/>
    </row>
    <row r="56" spans="1:25" x14ac:dyDescent="0.35">
      <c r="A56" s="26"/>
      <c r="B56" s="27" t="s">
        <v>11</v>
      </c>
      <c r="C56" s="27"/>
      <c r="D56" s="27"/>
      <c r="E56" s="27"/>
      <c r="F56" s="27"/>
      <c r="G56" s="26"/>
      <c r="H56" s="26"/>
      <c r="J56" s="2" t="s">
        <v>37</v>
      </c>
      <c r="K56" s="2" t="s">
        <v>38</v>
      </c>
      <c r="L56" s="2" t="s">
        <v>39</v>
      </c>
      <c r="M56" s="2" t="s">
        <v>40</v>
      </c>
      <c r="N56" s="2" t="s">
        <v>41</v>
      </c>
      <c r="O56" s="2" t="s">
        <v>42</v>
      </c>
      <c r="P56" s="2" t="s">
        <v>43</v>
      </c>
    </row>
    <row r="57" spans="1:25" x14ac:dyDescent="0.35">
      <c r="A57" s="26"/>
      <c r="B57" s="3">
        <v>1</v>
      </c>
      <c r="C57" s="3">
        <v>2</v>
      </c>
      <c r="D57" s="3">
        <v>3</v>
      </c>
      <c r="E57" s="3">
        <v>4</v>
      </c>
      <c r="F57" s="3">
        <v>5</v>
      </c>
      <c r="G57" s="26"/>
      <c r="H57" s="26"/>
      <c r="J57" s="2" t="s">
        <v>44</v>
      </c>
      <c r="K57" s="6">
        <f>3-1</f>
        <v>2</v>
      </c>
      <c r="L57" s="10">
        <f>SUMSQ(K52:M52)/9-R49</f>
        <v>65.569985185182304</v>
      </c>
      <c r="M57" s="10">
        <f t="shared" ref="M57:M62" si="20">L57/K57</f>
        <v>32.784992592591152</v>
      </c>
      <c r="N57" s="10">
        <f>M57/M62</f>
        <v>6.7535828074066071</v>
      </c>
      <c r="O57" s="10">
        <f>FINV(5%,K57,K62)</f>
        <v>3.6337234675916301</v>
      </c>
      <c r="P57" s="2" t="str">
        <f>IF(N57&gt;O57,"*","NS")</f>
        <v>*</v>
      </c>
    </row>
    <row r="58" spans="1:25" x14ac:dyDescent="0.35">
      <c r="A58" s="1" t="s">
        <v>6</v>
      </c>
      <c r="B58" s="4">
        <v>21</v>
      </c>
      <c r="C58" s="4">
        <v>17</v>
      </c>
      <c r="D58" s="4">
        <v>24</v>
      </c>
      <c r="E58" s="4">
        <v>18</v>
      </c>
      <c r="F58" s="4">
        <v>15.5</v>
      </c>
      <c r="G58" s="2">
        <f>SUM(B58:F58)</f>
        <v>95.5</v>
      </c>
      <c r="H58" s="2">
        <f>AVERAGE(B58:F58)</f>
        <v>19.100000000000001</v>
      </c>
      <c r="J58" s="2" t="s">
        <v>45</v>
      </c>
      <c r="K58" s="2">
        <f>9-1</f>
        <v>8</v>
      </c>
      <c r="L58" s="10">
        <f>SUMSQ(N43:N51)/3-R49</f>
        <v>21.104029629626893</v>
      </c>
      <c r="M58" s="10">
        <f t="shared" si="20"/>
        <v>2.6380037037033617</v>
      </c>
      <c r="N58" s="10">
        <f>M58/M62</f>
        <v>0.54341865135062073</v>
      </c>
      <c r="O58" s="10">
        <f>FINV(5%,K58,K62)</f>
        <v>2.5910961798744014</v>
      </c>
      <c r="P58" s="2" t="str">
        <f>IF(N58&gt;O58,"*","NS")</f>
        <v>NS</v>
      </c>
    </row>
    <row r="59" spans="1:25" x14ac:dyDescent="0.35">
      <c r="A59" s="1" t="s">
        <v>9</v>
      </c>
      <c r="B59" s="4">
        <v>18.5</v>
      </c>
      <c r="C59" s="4">
        <v>17</v>
      </c>
      <c r="D59" s="4">
        <v>22.5</v>
      </c>
      <c r="E59" s="4">
        <v>16</v>
      </c>
      <c r="F59" s="4">
        <v>21.5</v>
      </c>
      <c r="G59" s="2">
        <f t="shared" ref="G59:G66" si="21">SUM(B59:F59)</f>
        <v>95.5</v>
      </c>
      <c r="H59" s="2">
        <f t="shared" ref="H59:H66" si="22">AVERAGE(B59:F59)</f>
        <v>19.100000000000001</v>
      </c>
      <c r="J59" s="2" t="s">
        <v>46</v>
      </c>
      <c r="K59" s="2">
        <f>3-1</f>
        <v>2</v>
      </c>
      <c r="L59" s="10">
        <f>SUMSQ(R47:T47)/9-R49</f>
        <v>12.954162962960254</v>
      </c>
      <c r="M59" s="10">
        <f t="shared" si="20"/>
        <v>6.477081481480127</v>
      </c>
      <c r="N59" s="10">
        <f>M59/M62</f>
        <v>1.3342539581778396</v>
      </c>
      <c r="O59" s="10">
        <f>FINV(5%,K59,K62)</f>
        <v>3.6337234675916301</v>
      </c>
      <c r="P59" s="2" t="str">
        <f>IF(N59&gt;O59,"*","NS")</f>
        <v>NS</v>
      </c>
    </row>
    <row r="60" spans="1:25" x14ac:dyDescent="0.35">
      <c r="A60" s="1" t="s">
        <v>8</v>
      </c>
      <c r="B60" s="4">
        <v>17.5</v>
      </c>
      <c r="C60" s="4">
        <v>20</v>
      </c>
      <c r="D60" s="4">
        <v>20.5</v>
      </c>
      <c r="E60" s="4">
        <v>16.3</v>
      </c>
      <c r="F60" s="4">
        <v>24</v>
      </c>
      <c r="G60" s="2">
        <f t="shared" si="21"/>
        <v>98.3</v>
      </c>
      <c r="H60" s="2">
        <f t="shared" si="22"/>
        <v>19.66</v>
      </c>
      <c r="J60" s="2" t="s">
        <v>53</v>
      </c>
      <c r="K60" s="2">
        <f>3-1</f>
        <v>2</v>
      </c>
      <c r="L60" s="10">
        <f>SUMSQ(U44:U46)/9-R49</f>
        <v>0.84527407407404098</v>
      </c>
      <c r="M60" s="10">
        <f t="shared" si="20"/>
        <v>0.42263703703702049</v>
      </c>
      <c r="N60" s="10">
        <f>M60/M62</f>
        <v>8.7061609638780804E-2</v>
      </c>
      <c r="O60" s="10">
        <f>FINV(5%,K60,K62)</f>
        <v>3.6337234675916301</v>
      </c>
      <c r="P60" s="2" t="str">
        <f>IF(N60&gt;O60,"*","NS")</f>
        <v>NS</v>
      </c>
      <c r="R60" s="33" t="s">
        <v>78</v>
      </c>
      <c r="S60" s="33"/>
      <c r="T60" s="33"/>
      <c r="U60" s="33"/>
      <c r="V60" s="33"/>
      <c r="W60" s="33"/>
      <c r="X60" s="33"/>
      <c r="Y60" s="33"/>
    </row>
    <row r="61" spans="1:25" x14ac:dyDescent="0.35">
      <c r="A61" s="1" t="s">
        <v>4</v>
      </c>
      <c r="B61" s="4">
        <v>18</v>
      </c>
      <c r="C61" s="4">
        <v>16.3</v>
      </c>
      <c r="D61" s="4">
        <v>17</v>
      </c>
      <c r="E61" s="4">
        <v>19.399999999999999</v>
      </c>
      <c r="F61" s="4">
        <v>18.7</v>
      </c>
      <c r="G61" s="2">
        <f t="shared" si="21"/>
        <v>89.399999999999991</v>
      </c>
      <c r="H61" s="5">
        <f t="shared" si="22"/>
        <v>17.88</v>
      </c>
      <c r="J61" s="2" t="s">
        <v>54</v>
      </c>
      <c r="K61" s="2">
        <f>K59*K60</f>
        <v>4</v>
      </c>
      <c r="L61" s="10">
        <f>L58-L59-L60</f>
        <v>7.3045925925925985</v>
      </c>
      <c r="M61" s="10">
        <f t="shared" si="20"/>
        <v>1.8261481481481496</v>
      </c>
      <c r="N61" s="10">
        <f>M61/M62</f>
        <v>0.37617951879293132</v>
      </c>
      <c r="O61" s="10">
        <f>FINV(5%,K61,K62)</f>
        <v>3.0069172799243447</v>
      </c>
      <c r="P61" s="2" t="str">
        <f>IF(N61&gt;O61,"*","NS")</f>
        <v>NS</v>
      </c>
    </row>
    <row r="62" spans="1:25" x14ac:dyDescent="0.35">
      <c r="A62" s="1" t="s">
        <v>3</v>
      </c>
      <c r="B62" s="4">
        <v>11.2</v>
      </c>
      <c r="C62" s="4">
        <v>11.7</v>
      </c>
      <c r="D62" s="4">
        <v>13</v>
      </c>
      <c r="E62" s="4">
        <v>16.3</v>
      </c>
      <c r="F62" s="4">
        <v>13.2</v>
      </c>
      <c r="G62" s="2">
        <f t="shared" si="21"/>
        <v>65.400000000000006</v>
      </c>
      <c r="H62" s="2">
        <f t="shared" si="22"/>
        <v>13.080000000000002</v>
      </c>
      <c r="J62" s="2" t="s">
        <v>47</v>
      </c>
      <c r="K62" s="2">
        <f>K63-K58-K57</f>
        <v>16</v>
      </c>
      <c r="L62" s="10">
        <f>L63-L58-L57</f>
        <v>77.671348148152902</v>
      </c>
      <c r="M62" s="10">
        <f t="shared" si="20"/>
        <v>4.8544592592595563</v>
      </c>
      <c r="N62" s="18"/>
      <c r="O62" s="18"/>
      <c r="P62" s="6"/>
      <c r="Q62" s="6"/>
    </row>
    <row r="63" spans="1:25" x14ac:dyDescent="0.35">
      <c r="A63" s="1" t="s">
        <v>7</v>
      </c>
      <c r="B63" s="4">
        <v>15.3</v>
      </c>
      <c r="C63" s="4">
        <v>18.7</v>
      </c>
      <c r="D63" s="4">
        <v>21.8</v>
      </c>
      <c r="E63" s="4">
        <v>20.3</v>
      </c>
      <c r="F63" s="4">
        <v>17</v>
      </c>
      <c r="G63" s="2">
        <f t="shared" si="21"/>
        <v>93.1</v>
      </c>
      <c r="H63" s="2">
        <f t="shared" si="22"/>
        <v>18.619999999999997</v>
      </c>
      <c r="J63" s="2" t="s">
        <v>48</v>
      </c>
      <c r="K63" s="2">
        <f>27-1</f>
        <v>26</v>
      </c>
      <c r="L63" s="10">
        <f>SUMSQ(K43:M51)-R49</f>
        <v>164.3453629629621</v>
      </c>
      <c r="M63" s="18"/>
      <c r="N63" s="18"/>
      <c r="O63" s="18"/>
      <c r="P63" s="6"/>
      <c r="Q63" s="6"/>
    </row>
    <row r="64" spans="1:25" x14ac:dyDescent="0.35">
      <c r="A64" s="1" t="s">
        <v>2</v>
      </c>
      <c r="B64" s="4">
        <v>13</v>
      </c>
      <c r="C64" s="4">
        <v>12.4</v>
      </c>
      <c r="D64" s="4">
        <v>16</v>
      </c>
      <c r="E64" s="4">
        <v>14.4</v>
      </c>
      <c r="F64" s="4">
        <v>15.5</v>
      </c>
      <c r="G64" s="2">
        <f t="shared" si="21"/>
        <v>71.3</v>
      </c>
      <c r="H64" s="5">
        <f t="shared" si="22"/>
        <v>14.26</v>
      </c>
    </row>
    <row r="65" spans="1:8" x14ac:dyDescent="0.35">
      <c r="A65" s="1" t="s">
        <v>5</v>
      </c>
      <c r="B65" s="4">
        <v>9.4</v>
      </c>
      <c r="C65" s="4">
        <v>15.8</v>
      </c>
      <c r="D65" s="4">
        <v>18.3</v>
      </c>
      <c r="E65" s="4">
        <v>13.5</v>
      </c>
      <c r="F65" s="4">
        <v>16.399999999999999</v>
      </c>
      <c r="G65" s="2">
        <f t="shared" si="21"/>
        <v>73.400000000000006</v>
      </c>
      <c r="H65" s="5">
        <f t="shared" si="22"/>
        <v>14.680000000000001</v>
      </c>
    </row>
    <row r="66" spans="1:8" x14ac:dyDescent="0.35">
      <c r="A66" s="1" t="s">
        <v>1</v>
      </c>
      <c r="B66" s="4">
        <v>17.399999999999999</v>
      </c>
      <c r="C66" s="4">
        <v>13</v>
      </c>
      <c r="D66" s="4">
        <v>18.5</v>
      </c>
      <c r="E66" s="4">
        <v>14.3</v>
      </c>
      <c r="F66" s="4">
        <v>12</v>
      </c>
      <c r="G66" s="2">
        <f t="shared" si="21"/>
        <v>75.2</v>
      </c>
      <c r="H66" s="2">
        <f t="shared" si="22"/>
        <v>15.040000000000001</v>
      </c>
    </row>
    <row r="68" spans="1:8" x14ac:dyDescent="0.35">
      <c r="A68" s="26" t="s">
        <v>0</v>
      </c>
      <c r="B68" s="27" t="s">
        <v>20</v>
      </c>
      <c r="C68" s="27"/>
      <c r="D68" s="27"/>
      <c r="E68" s="27"/>
      <c r="F68" s="27"/>
      <c r="G68" s="26" t="s">
        <v>12</v>
      </c>
      <c r="H68" s="26" t="s">
        <v>13</v>
      </c>
    </row>
    <row r="69" spans="1:8" x14ac:dyDescent="0.35">
      <c r="A69" s="26"/>
      <c r="B69" s="27" t="s">
        <v>11</v>
      </c>
      <c r="C69" s="27"/>
      <c r="D69" s="27"/>
      <c r="E69" s="27"/>
      <c r="F69" s="27"/>
      <c r="G69" s="26"/>
      <c r="H69" s="26"/>
    </row>
    <row r="70" spans="1:8" x14ac:dyDescent="0.35">
      <c r="A70" s="26"/>
      <c r="B70" s="3">
        <v>1</v>
      </c>
      <c r="C70" s="3">
        <v>2</v>
      </c>
      <c r="D70" s="3">
        <v>3</v>
      </c>
      <c r="E70" s="3">
        <v>4</v>
      </c>
      <c r="F70" s="3">
        <v>5</v>
      </c>
      <c r="G70" s="26"/>
      <c r="H70" s="26"/>
    </row>
    <row r="71" spans="1:8" x14ac:dyDescent="0.35">
      <c r="A71" s="1" t="s">
        <v>7</v>
      </c>
      <c r="B71" s="4">
        <v>7</v>
      </c>
      <c r="C71" s="4">
        <v>10.5</v>
      </c>
      <c r="D71" s="4">
        <v>16</v>
      </c>
      <c r="E71" s="4">
        <v>16.5</v>
      </c>
      <c r="F71" s="4">
        <v>15</v>
      </c>
      <c r="G71" s="2">
        <f>SUM(B71:F71)</f>
        <v>65</v>
      </c>
      <c r="H71" s="2">
        <f>AVERAGE(B71:F71)</f>
        <v>13</v>
      </c>
    </row>
    <row r="72" spans="1:8" x14ac:dyDescent="0.35">
      <c r="A72" s="1" t="s">
        <v>9</v>
      </c>
      <c r="B72" s="4">
        <v>14</v>
      </c>
      <c r="C72" s="4">
        <v>22</v>
      </c>
      <c r="D72" s="4">
        <v>15</v>
      </c>
      <c r="E72" s="4">
        <v>17</v>
      </c>
      <c r="F72" s="4">
        <v>17.5</v>
      </c>
      <c r="G72" s="2">
        <f t="shared" ref="G72:G79" si="23">SUM(B72:F72)</f>
        <v>85.5</v>
      </c>
      <c r="H72" s="2">
        <f t="shared" ref="H72:H79" si="24">AVERAGE(B72:F72)</f>
        <v>17.100000000000001</v>
      </c>
    </row>
    <row r="73" spans="1:8" x14ac:dyDescent="0.35">
      <c r="A73" s="1" t="s">
        <v>6</v>
      </c>
      <c r="B73" s="4">
        <v>18</v>
      </c>
      <c r="C73" s="4">
        <v>14</v>
      </c>
      <c r="D73" s="4">
        <v>18</v>
      </c>
      <c r="E73" s="4">
        <v>17</v>
      </c>
      <c r="F73" s="4">
        <v>15.5</v>
      </c>
      <c r="G73" s="2">
        <f t="shared" si="23"/>
        <v>82.5</v>
      </c>
      <c r="H73" s="2">
        <f t="shared" si="24"/>
        <v>16.5</v>
      </c>
    </row>
    <row r="74" spans="1:8" x14ac:dyDescent="0.35">
      <c r="A74" s="1" t="s">
        <v>5</v>
      </c>
      <c r="B74" s="4">
        <v>16.5</v>
      </c>
      <c r="C74" s="4">
        <v>19</v>
      </c>
      <c r="D74" s="4">
        <v>17.399999999999999</v>
      </c>
      <c r="E74" s="4">
        <v>19</v>
      </c>
      <c r="F74" s="4">
        <v>14.8</v>
      </c>
      <c r="G74" s="2">
        <f t="shared" si="23"/>
        <v>86.7</v>
      </c>
      <c r="H74" s="5">
        <f t="shared" si="24"/>
        <v>17.34</v>
      </c>
    </row>
    <row r="75" spans="1:8" x14ac:dyDescent="0.35">
      <c r="A75" s="1" t="s">
        <v>8</v>
      </c>
      <c r="B75" s="4">
        <v>15</v>
      </c>
      <c r="C75" s="4">
        <v>15.5</v>
      </c>
      <c r="D75" s="4">
        <v>16</v>
      </c>
      <c r="E75" s="4">
        <v>18</v>
      </c>
      <c r="F75" s="4">
        <v>17</v>
      </c>
      <c r="G75" s="2">
        <f t="shared" si="23"/>
        <v>81.5</v>
      </c>
      <c r="H75" s="2">
        <f t="shared" si="24"/>
        <v>16.3</v>
      </c>
    </row>
    <row r="76" spans="1:8" x14ac:dyDescent="0.35">
      <c r="A76" s="1" t="s">
        <v>2</v>
      </c>
      <c r="B76" s="4">
        <v>17</v>
      </c>
      <c r="C76" s="4">
        <v>22</v>
      </c>
      <c r="D76" s="4">
        <v>14</v>
      </c>
      <c r="E76" s="4">
        <v>18.5</v>
      </c>
      <c r="F76" s="4">
        <v>19.8</v>
      </c>
      <c r="G76" s="2">
        <f t="shared" si="23"/>
        <v>91.3</v>
      </c>
      <c r="H76" s="5">
        <f t="shared" si="24"/>
        <v>18.259999999999998</v>
      </c>
    </row>
    <row r="77" spans="1:8" x14ac:dyDescent="0.35">
      <c r="A77" s="1" t="s">
        <v>3</v>
      </c>
      <c r="B77" s="4">
        <v>15.5</v>
      </c>
      <c r="C77" s="4">
        <v>16</v>
      </c>
      <c r="D77" s="4">
        <v>17.3</v>
      </c>
      <c r="E77" s="4">
        <v>16.8</v>
      </c>
      <c r="F77" s="4">
        <v>18</v>
      </c>
      <c r="G77" s="2">
        <f t="shared" si="23"/>
        <v>83.6</v>
      </c>
      <c r="H77" s="5">
        <f t="shared" si="24"/>
        <v>16.72</v>
      </c>
    </row>
    <row r="78" spans="1:8" x14ac:dyDescent="0.35">
      <c r="A78" s="1" t="s">
        <v>4</v>
      </c>
      <c r="B78" s="4">
        <v>12.8</v>
      </c>
      <c r="C78" s="4">
        <v>11.8</v>
      </c>
      <c r="D78" s="4">
        <v>9.5</v>
      </c>
      <c r="E78" s="4">
        <v>11.6</v>
      </c>
      <c r="F78" s="4">
        <v>18.5</v>
      </c>
      <c r="G78" s="2">
        <f t="shared" si="23"/>
        <v>64.2</v>
      </c>
      <c r="H78" s="5">
        <f t="shared" si="24"/>
        <v>12.84</v>
      </c>
    </row>
    <row r="79" spans="1:8" x14ac:dyDescent="0.35">
      <c r="A79" s="1" t="s">
        <v>1</v>
      </c>
      <c r="B79" s="4">
        <v>18.2</v>
      </c>
      <c r="C79" s="4">
        <v>17.5</v>
      </c>
      <c r="D79" s="4">
        <v>14</v>
      </c>
      <c r="E79" s="4">
        <v>19.5</v>
      </c>
      <c r="F79" s="4">
        <v>19.8</v>
      </c>
      <c r="G79" s="2">
        <f t="shared" si="23"/>
        <v>89</v>
      </c>
      <c r="H79" s="5">
        <f t="shared" si="24"/>
        <v>17.8</v>
      </c>
    </row>
    <row r="81" spans="1:21" x14ac:dyDescent="0.35">
      <c r="A81" s="30" t="s">
        <v>22</v>
      </c>
      <c r="B81" s="30"/>
      <c r="C81" s="30"/>
      <c r="D81" s="30"/>
      <c r="E81" s="30"/>
      <c r="F81" s="30"/>
      <c r="G81" s="30"/>
      <c r="H81" s="30"/>
    </row>
    <row r="82" spans="1:21" x14ac:dyDescent="0.35">
      <c r="A82" s="26" t="s">
        <v>0</v>
      </c>
      <c r="B82" s="27" t="s">
        <v>10</v>
      </c>
      <c r="C82" s="27"/>
      <c r="D82" s="27"/>
      <c r="E82" s="27"/>
      <c r="F82" s="27"/>
      <c r="G82" s="26" t="s">
        <v>12</v>
      </c>
      <c r="H82" s="26" t="s">
        <v>13</v>
      </c>
      <c r="J82" s="2" t="s">
        <v>28</v>
      </c>
      <c r="K82" s="2" t="s">
        <v>10</v>
      </c>
      <c r="L82" s="2" t="s">
        <v>16</v>
      </c>
      <c r="M82" s="2" t="s">
        <v>20</v>
      </c>
      <c r="N82" s="2" t="s">
        <v>29</v>
      </c>
      <c r="O82" s="2" t="s">
        <v>30</v>
      </c>
      <c r="Q82" s="8" t="s">
        <v>31</v>
      </c>
      <c r="R82" s="9"/>
    </row>
    <row r="83" spans="1:21" x14ac:dyDescent="0.35">
      <c r="A83" s="26"/>
      <c r="B83" s="27" t="s">
        <v>11</v>
      </c>
      <c r="C83" s="27"/>
      <c r="D83" s="27"/>
      <c r="E83" s="27"/>
      <c r="F83" s="27"/>
      <c r="G83" s="26"/>
      <c r="H83" s="26"/>
      <c r="J83" s="2" t="s">
        <v>8</v>
      </c>
      <c r="K83" s="5">
        <f>H92</f>
        <v>53.6</v>
      </c>
      <c r="L83" s="5">
        <f>H100</f>
        <v>41.8</v>
      </c>
      <c r="M83" s="5">
        <f>H115</f>
        <v>46.6</v>
      </c>
      <c r="N83" s="5">
        <f>SUM(K83:M83)</f>
        <v>142</v>
      </c>
      <c r="O83" s="19">
        <f>AVERAGE(K83:M83)</f>
        <v>47.333333333333336</v>
      </c>
      <c r="Q83" s="12"/>
      <c r="R83" s="12" t="s">
        <v>32</v>
      </c>
      <c r="S83" s="12" t="s">
        <v>33</v>
      </c>
      <c r="T83" s="12" t="s">
        <v>49</v>
      </c>
      <c r="U83" s="12" t="s">
        <v>29</v>
      </c>
    </row>
    <row r="84" spans="1:21" x14ac:dyDescent="0.35">
      <c r="A84" s="26"/>
      <c r="B84" s="3">
        <v>1</v>
      </c>
      <c r="C84" s="3">
        <v>2</v>
      </c>
      <c r="D84" s="3">
        <v>3</v>
      </c>
      <c r="E84" s="3">
        <v>4</v>
      </c>
      <c r="F84" s="3">
        <v>5</v>
      </c>
      <c r="G84" s="26"/>
      <c r="H84" s="26"/>
      <c r="J84" s="2" t="s">
        <v>6</v>
      </c>
      <c r="K84" s="5">
        <f>H90</f>
        <v>46.9</v>
      </c>
      <c r="L84" s="5">
        <f>H98</f>
        <v>42.5</v>
      </c>
      <c r="M84" s="5">
        <f>H113</f>
        <v>45.5</v>
      </c>
      <c r="N84" s="5">
        <f t="shared" ref="N84:N91" si="25">SUM(K84:M84)</f>
        <v>134.9</v>
      </c>
      <c r="O84" s="19">
        <f t="shared" ref="O84:O91" si="26">AVERAGE(K84:M84)</f>
        <v>44.966666666666669</v>
      </c>
      <c r="Q84" s="12" t="s">
        <v>50</v>
      </c>
      <c r="R84" s="11">
        <f>N83</f>
        <v>142</v>
      </c>
      <c r="S84" s="11">
        <f>N86</f>
        <v>217.4</v>
      </c>
      <c r="T84" s="11">
        <f>N89</f>
        <v>122.6</v>
      </c>
      <c r="U84" s="11">
        <f>SUM(R84:T84)</f>
        <v>482</v>
      </c>
    </row>
    <row r="85" spans="1:21" x14ac:dyDescent="0.35">
      <c r="A85" s="1" t="s">
        <v>1</v>
      </c>
      <c r="B85" s="4">
        <v>61</v>
      </c>
      <c r="C85" s="4">
        <v>60</v>
      </c>
      <c r="D85" s="4">
        <v>49</v>
      </c>
      <c r="E85" s="4">
        <v>38</v>
      </c>
      <c r="F85" s="4">
        <v>39</v>
      </c>
      <c r="G85" s="2">
        <f>SUM(B85:F85)</f>
        <v>247</v>
      </c>
      <c r="H85" s="2">
        <f>AVERAGE(B85:F85)</f>
        <v>49.4</v>
      </c>
      <c r="J85" s="2" t="s">
        <v>5</v>
      </c>
      <c r="K85" s="5">
        <f>H89</f>
        <v>37.700000000000003</v>
      </c>
      <c r="L85" s="5">
        <f>H105</f>
        <v>58.3</v>
      </c>
      <c r="M85" s="5">
        <f>H114</f>
        <v>43</v>
      </c>
      <c r="N85" s="5">
        <f t="shared" si="25"/>
        <v>139</v>
      </c>
      <c r="O85" s="19">
        <f t="shared" si="26"/>
        <v>46.333333333333336</v>
      </c>
      <c r="Q85" s="12" t="s">
        <v>51</v>
      </c>
      <c r="R85" s="11">
        <f>N84</f>
        <v>134.9</v>
      </c>
      <c r="S85" s="11">
        <f>N87</f>
        <v>152.80000000000001</v>
      </c>
      <c r="T85" s="11">
        <f>N90</f>
        <v>117</v>
      </c>
      <c r="U85" s="11">
        <f>SUM(R85:T85)</f>
        <v>404.70000000000005</v>
      </c>
    </row>
    <row r="86" spans="1:21" x14ac:dyDescent="0.35">
      <c r="A86" s="1" t="s">
        <v>2</v>
      </c>
      <c r="B86" s="4">
        <v>53</v>
      </c>
      <c r="C86" s="4">
        <v>35</v>
      </c>
      <c r="D86" s="4">
        <v>39.5</v>
      </c>
      <c r="E86" s="4">
        <v>41</v>
      </c>
      <c r="F86" s="4">
        <v>52</v>
      </c>
      <c r="G86" s="2">
        <f t="shared" ref="G86:G93" si="27">SUM(B86:F86)</f>
        <v>220.5</v>
      </c>
      <c r="H86" s="2">
        <f t="shared" ref="H86:H93" si="28">AVERAGE(B86:F86)</f>
        <v>44.1</v>
      </c>
      <c r="J86" s="2" t="s">
        <v>3</v>
      </c>
      <c r="K86" s="5">
        <f>H87</f>
        <v>42.1</v>
      </c>
      <c r="L86" s="5">
        <f>H102</f>
        <v>50.9</v>
      </c>
      <c r="M86" s="5">
        <f>H117</f>
        <v>124.4</v>
      </c>
      <c r="N86" s="5">
        <f t="shared" si="25"/>
        <v>217.4</v>
      </c>
      <c r="O86" s="19">
        <f t="shared" si="26"/>
        <v>72.466666666666669</v>
      </c>
      <c r="Q86" s="12" t="s">
        <v>52</v>
      </c>
      <c r="R86" s="11">
        <f>N85</f>
        <v>139</v>
      </c>
      <c r="S86" s="11">
        <f>N88</f>
        <v>134.69999999999999</v>
      </c>
      <c r="T86" s="11">
        <f>N91</f>
        <v>146.42000000000002</v>
      </c>
      <c r="U86" s="11">
        <f>SUM(R86:T86)</f>
        <v>420.12</v>
      </c>
    </row>
    <row r="87" spans="1:21" x14ac:dyDescent="0.35">
      <c r="A87" s="1" t="s">
        <v>3</v>
      </c>
      <c r="B87" s="4">
        <v>38</v>
      </c>
      <c r="C87" s="4">
        <v>69</v>
      </c>
      <c r="D87" s="4">
        <v>30</v>
      </c>
      <c r="E87" s="4">
        <v>43</v>
      </c>
      <c r="F87" s="4">
        <v>30.5</v>
      </c>
      <c r="G87" s="2">
        <f t="shared" si="27"/>
        <v>210.5</v>
      </c>
      <c r="H87" s="2">
        <f t="shared" si="28"/>
        <v>42.1</v>
      </c>
      <c r="J87" s="2" t="s">
        <v>7</v>
      </c>
      <c r="K87" s="5">
        <f>H91</f>
        <v>54.7</v>
      </c>
      <c r="L87" s="5">
        <f>H103</f>
        <v>57</v>
      </c>
      <c r="M87" s="5">
        <f>H111</f>
        <v>41.1</v>
      </c>
      <c r="N87" s="5">
        <f t="shared" si="25"/>
        <v>152.80000000000001</v>
      </c>
      <c r="O87" s="19">
        <f t="shared" si="26"/>
        <v>50.933333333333337</v>
      </c>
      <c r="Q87" s="12" t="s">
        <v>29</v>
      </c>
      <c r="R87" s="11">
        <f>SUM(R84:R86)</f>
        <v>415.9</v>
      </c>
      <c r="S87" s="11">
        <f t="shared" ref="S87:U87" si="29">SUM(S84:S86)</f>
        <v>504.90000000000003</v>
      </c>
      <c r="T87" s="11">
        <f t="shared" si="29"/>
        <v>386.02</v>
      </c>
      <c r="U87" s="13">
        <f t="shared" si="29"/>
        <v>1306.8200000000002</v>
      </c>
    </row>
    <row r="88" spans="1:21" x14ac:dyDescent="0.35">
      <c r="A88" s="1" t="s">
        <v>4</v>
      </c>
      <c r="B88" s="4">
        <v>53</v>
      </c>
      <c r="C88" s="4">
        <v>55</v>
      </c>
      <c r="D88" s="4">
        <v>39.5</v>
      </c>
      <c r="E88" s="4">
        <v>31</v>
      </c>
      <c r="F88" s="4">
        <v>42</v>
      </c>
      <c r="G88" s="4">
        <f t="shared" si="27"/>
        <v>220.5</v>
      </c>
      <c r="H88" s="5">
        <f t="shared" si="28"/>
        <v>44.1</v>
      </c>
      <c r="J88" s="2" t="s">
        <v>4</v>
      </c>
      <c r="K88" s="5">
        <f>H88</f>
        <v>44.1</v>
      </c>
      <c r="L88" s="5">
        <f>H101</f>
        <v>42.9</v>
      </c>
      <c r="M88" s="5">
        <f>H118</f>
        <v>47.7</v>
      </c>
      <c r="N88" s="5">
        <f t="shared" si="25"/>
        <v>134.69999999999999</v>
      </c>
      <c r="O88" s="19">
        <f t="shared" si="26"/>
        <v>44.9</v>
      </c>
    </row>
    <row r="89" spans="1:21" x14ac:dyDescent="0.35">
      <c r="A89" s="1" t="s">
        <v>5</v>
      </c>
      <c r="B89" s="4">
        <v>32.5</v>
      </c>
      <c r="C89" s="4">
        <v>33</v>
      </c>
      <c r="D89" s="4">
        <v>46</v>
      </c>
      <c r="E89" s="4">
        <v>34</v>
      </c>
      <c r="F89" s="4">
        <v>43</v>
      </c>
      <c r="G89" s="2">
        <f t="shared" si="27"/>
        <v>188.5</v>
      </c>
      <c r="H89" s="2">
        <f t="shared" si="28"/>
        <v>37.700000000000003</v>
      </c>
      <c r="J89" s="2" t="s">
        <v>1</v>
      </c>
      <c r="K89" s="5">
        <f>H85</f>
        <v>49.4</v>
      </c>
      <c r="L89" s="5">
        <f>H106</f>
        <v>32.700000000000003</v>
      </c>
      <c r="M89" s="5">
        <f>H119</f>
        <v>40.5</v>
      </c>
      <c r="N89" s="5">
        <f t="shared" si="25"/>
        <v>122.6</v>
      </c>
      <c r="O89" s="19">
        <f t="shared" si="26"/>
        <v>40.866666666666667</v>
      </c>
      <c r="Q89" s="14" t="s">
        <v>34</v>
      </c>
      <c r="R89" s="14">
        <f>U87^2/27</f>
        <v>63251.056014814829</v>
      </c>
    </row>
    <row r="90" spans="1:21" x14ac:dyDescent="0.35">
      <c r="A90" s="1" t="s">
        <v>6</v>
      </c>
      <c r="B90" s="4">
        <v>44</v>
      </c>
      <c r="C90" s="4">
        <v>53</v>
      </c>
      <c r="D90" s="4">
        <v>60</v>
      </c>
      <c r="E90" s="4">
        <v>36</v>
      </c>
      <c r="F90" s="4">
        <v>41.5</v>
      </c>
      <c r="G90" s="2">
        <f t="shared" si="27"/>
        <v>234.5</v>
      </c>
      <c r="H90" s="2">
        <f t="shared" si="28"/>
        <v>46.9</v>
      </c>
      <c r="J90" s="2" t="s">
        <v>2</v>
      </c>
      <c r="K90" s="5">
        <f>H86</f>
        <v>44.1</v>
      </c>
      <c r="L90" s="5">
        <f>H104</f>
        <v>42.8</v>
      </c>
      <c r="M90" s="5">
        <f>H116</f>
        <v>30.1</v>
      </c>
      <c r="N90" s="5">
        <f t="shared" si="25"/>
        <v>117</v>
      </c>
      <c r="O90" s="19">
        <f t="shared" si="26"/>
        <v>39</v>
      </c>
      <c r="Q90" s="15" t="s">
        <v>35</v>
      </c>
      <c r="R90" s="15">
        <f>SQRT(M102)/O93*100</f>
        <v>35.433535317195627</v>
      </c>
    </row>
    <row r="91" spans="1:21" x14ac:dyDescent="0.35">
      <c r="A91" s="1" t="s">
        <v>7</v>
      </c>
      <c r="B91" s="4">
        <v>60</v>
      </c>
      <c r="C91" s="4">
        <v>61</v>
      </c>
      <c r="D91" s="4">
        <v>46</v>
      </c>
      <c r="E91" s="4">
        <v>39</v>
      </c>
      <c r="F91" s="4">
        <v>67.5</v>
      </c>
      <c r="G91" s="4">
        <f t="shared" si="27"/>
        <v>273.5</v>
      </c>
      <c r="H91" s="5">
        <f t="shared" si="28"/>
        <v>54.7</v>
      </c>
      <c r="J91" s="2" t="s">
        <v>9</v>
      </c>
      <c r="K91" s="5">
        <f>H93</f>
        <v>54.2</v>
      </c>
      <c r="L91" s="5">
        <f>H99</f>
        <v>46.2</v>
      </c>
      <c r="M91" s="5">
        <f>H112</f>
        <v>46.019999999999996</v>
      </c>
      <c r="N91" s="5">
        <f t="shared" si="25"/>
        <v>146.42000000000002</v>
      </c>
      <c r="O91" s="19">
        <f t="shared" si="26"/>
        <v>48.806666666666672</v>
      </c>
    </row>
    <row r="92" spans="1:21" x14ac:dyDescent="0.35">
      <c r="A92" s="1" t="s">
        <v>8</v>
      </c>
      <c r="B92" s="4">
        <v>62</v>
      </c>
      <c r="C92" s="4">
        <v>62</v>
      </c>
      <c r="D92" s="4">
        <v>59</v>
      </c>
      <c r="E92" s="4">
        <v>50.5</v>
      </c>
      <c r="F92" s="4">
        <v>34.5</v>
      </c>
      <c r="G92" s="2">
        <f t="shared" si="27"/>
        <v>268</v>
      </c>
      <c r="H92" s="5">
        <f t="shared" si="28"/>
        <v>53.6</v>
      </c>
      <c r="J92" s="2" t="s">
        <v>12</v>
      </c>
      <c r="K92" s="5">
        <f>SUM(K83:K91)</f>
        <v>426.8</v>
      </c>
      <c r="L92" s="5">
        <f t="shared" ref="L92" si="30">SUM(L83:L91)</f>
        <v>415.09999999999997</v>
      </c>
      <c r="M92" s="5">
        <f>SUM(M83:M91)</f>
        <v>464.92</v>
      </c>
      <c r="N92" s="20">
        <f>SUM(N83:N91)</f>
        <v>1306.82</v>
      </c>
      <c r="O92" s="19"/>
    </row>
    <row r="93" spans="1:21" x14ac:dyDescent="0.35">
      <c r="A93" s="1" t="s">
        <v>9</v>
      </c>
      <c r="B93" s="4">
        <v>38.5</v>
      </c>
      <c r="C93" s="4">
        <v>62</v>
      </c>
      <c r="D93" s="4">
        <v>40</v>
      </c>
      <c r="E93" s="4">
        <v>61</v>
      </c>
      <c r="F93" s="4">
        <v>69.5</v>
      </c>
      <c r="G93" s="2">
        <f t="shared" si="27"/>
        <v>271</v>
      </c>
      <c r="H93" s="2">
        <f t="shared" si="28"/>
        <v>54.2</v>
      </c>
      <c r="J93" s="2" t="s">
        <v>13</v>
      </c>
      <c r="K93" s="19">
        <f>AVERAGE(K83:K91)</f>
        <v>47.422222222222224</v>
      </c>
      <c r="L93" s="19">
        <f t="shared" ref="L93:M93" si="31">AVERAGE(L83:L91)</f>
        <v>46.12222222222222</v>
      </c>
      <c r="M93" s="19">
        <f t="shared" si="31"/>
        <v>51.657777777777781</v>
      </c>
      <c r="N93" s="19"/>
      <c r="O93" s="19">
        <f>AVERAGE(K83:M91)</f>
        <v>48.400740740740737</v>
      </c>
    </row>
    <row r="94" spans="1:21" x14ac:dyDescent="0.35">
      <c r="J94" s="16"/>
    </row>
    <row r="95" spans="1:21" x14ac:dyDescent="0.35">
      <c r="A95" s="26" t="s">
        <v>0</v>
      </c>
      <c r="B95" s="27" t="s">
        <v>16</v>
      </c>
      <c r="C95" s="27"/>
      <c r="D95" s="27"/>
      <c r="E95" s="27"/>
      <c r="F95" s="27"/>
      <c r="G95" s="26" t="s">
        <v>12</v>
      </c>
      <c r="H95" s="26" t="s">
        <v>13</v>
      </c>
      <c r="J95" s="17" t="s">
        <v>36</v>
      </c>
      <c r="K95" s="9"/>
    </row>
    <row r="96" spans="1:21" x14ac:dyDescent="0.35">
      <c r="A96" s="26"/>
      <c r="B96" s="27" t="s">
        <v>11</v>
      </c>
      <c r="C96" s="27"/>
      <c r="D96" s="27"/>
      <c r="E96" s="27"/>
      <c r="F96" s="27"/>
      <c r="G96" s="26"/>
      <c r="H96" s="26"/>
      <c r="J96" s="2" t="s">
        <v>37</v>
      </c>
      <c r="K96" s="2" t="s">
        <v>38</v>
      </c>
      <c r="L96" s="2" t="s">
        <v>39</v>
      </c>
      <c r="M96" s="2" t="s">
        <v>40</v>
      </c>
      <c r="N96" s="2" t="s">
        <v>41</v>
      </c>
      <c r="O96" s="2" t="s">
        <v>42</v>
      </c>
      <c r="P96" s="2" t="s">
        <v>43</v>
      </c>
    </row>
    <row r="97" spans="1:25" x14ac:dyDescent="0.35">
      <c r="A97" s="26"/>
      <c r="B97" s="3">
        <v>1</v>
      </c>
      <c r="C97" s="3">
        <v>2</v>
      </c>
      <c r="D97" s="3">
        <v>3</v>
      </c>
      <c r="E97" s="3">
        <v>4</v>
      </c>
      <c r="F97" s="3">
        <v>5</v>
      </c>
      <c r="G97" s="26"/>
      <c r="H97" s="26"/>
      <c r="J97" s="2" t="s">
        <v>44</v>
      </c>
      <c r="K97" s="6">
        <f>3-1</f>
        <v>2</v>
      </c>
      <c r="L97" s="10">
        <f>SUMSQ(K92:M92)/9-R89</f>
        <v>150.81691851851065</v>
      </c>
      <c r="M97" s="10">
        <f t="shared" ref="M97:M102" si="32">L97/K97</f>
        <v>75.408459259255324</v>
      </c>
      <c r="N97" s="10">
        <f>M97/M102</f>
        <v>0.25638173367832334</v>
      </c>
      <c r="O97" s="10">
        <f>FINV(5%,K97,K102)</f>
        <v>3.6337234675916301</v>
      </c>
      <c r="P97" s="2" t="str">
        <f>IF(N97&gt;O97,"*","NS")</f>
        <v>NS</v>
      </c>
    </row>
    <row r="98" spans="1:25" x14ac:dyDescent="0.35">
      <c r="A98" s="1" t="s">
        <v>6</v>
      </c>
      <c r="B98" s="4">
        <v>35</v>
      </c>
      <c r="C98" s="4">
        <v>31.5</v>
      </c>
      <c r="D98" s="4">
        <v>40</v>
      </c>
      <c r="E98" s="4">
        <v>55.5</v>
      </c>
      <c r="F98" s="4">
        <v>50.5</v>
      </c>
      <c r="G98" s="2">
        <f>SUM(B98:F98)</f>
        <v>212.5</v>
      </c>
      <c r="H98" s="2">
        <f>AVERAGE(B98:F98)</f>
        <v>42.5</v>
      </c>
      <c r="J98" s="2" t="s">
        <v>45</v>
      </c>
      <c r="K98" s="2">
        <f>9-1</f>
        <v>8</v>
      </c>
      <c r="L98" s="10">
        <f>SUMSQ(N83:N91)/3-R89</f>
        <v>2281.0361185185175</v>
      </c>
      <c r="M98" s="10">
        <f t="shared" si="32"/>
        <v>285.12951481481468</v>
      </c>
      <c r="N98" s="10">
        <f>M98/M102</f>
        <v>0.96941377730256595</v>
      </c>
      <c r="O98" s="10">
        <f>FINV(5%,K98,K102)</f>
        <v>2.5910961798744014</v>
      </c>
      <c r="P98" s="2" t="str">
        <f>IF(N98&gt;O98,"*","NS")</f>
        <v>NS</v>
      </c>
    </row>
    <row r="99" spans="1:25" x14ac:dyDescent="0.35">
      <c r="A99" s="1" t="s">
        <v>9</v>
      </c>
      <c r="B99" s="4">
        <v>31.5</v>
      </c>
      <c r="C99" s="4">
        <v>58</v>
      </c>
      <c r="D99" s="4">
        <v>45</v>
      </c>
      <c r="E99" s="4">
        <v>53</v>
      </c>
      <c r="F99" s="4">
        <v>43.5</v>
      </c>
      <c r="G99" s="2">
        <f t="shared" ref="G99:G106" si="33">SUM(B99:F99)</f>
        <v>231</v>
      </c>
      <c r="H99" s="2">
        <f t="shared" ref="H99:H106" si="34">AVERAGE(B99:F99)</f>
        <v>46.2</v>
      </c>
      <c r="J99" s="2" t="s">
        <v>46</v>
      </c>
      <c r="K99" s="2">
        <f>3-1</f>
        <v>2</v>
      </c>
      <c r="L99" s="10">
        <f>SUMSQ(R87:T87)/9-R89</f>
        <v>849.86180740739655</v>
      </c>
      <c r="M99" s="10">
        <f t="shared" si="32"/>
        <v>424.93090370369828</v>
      </c>
      <c r="N99" s="10">
        <f>M99/M102</f>
        <v>1.4447254705270938</v>
      </c>
      <c r="O99" s="10">
        <f>FINV(5%,K99,K102)</f>
        <v>3.6337234675916301</v>
      </c>
      <c r="P99" s="2" t="str">
        <f>IF(N99&gt;O99,"*","NS")</f>
        <v>NS</v>
      </c>
    </row>
    <row r="100" spans="1:25" x14ac:dyDescent="0.35">
      <c r="A100" s="1" t="s">
        <v>8</v>
      </c>
      <c r="B100" s="4">
        <v>27</v>
      </c>
      <c r="C100" s="4">
        <v>60</v>
      </c>
      <c r="D100" s="4">
        <v>57</v>
      </c>
      <c r="E100" s="4">
        <v>41</v>
      </c>
      <c r="F100" s="4">
        <v>24</v>
      </c>
      <c r="G100" s="2">
        <f t="shared" si="33"/>
        <v>209</v>
      </c>
      <c r="H100" s="2">
        <f t="shared" si="34"/>
        <v>41.8</v>
      </c>
      <c r="J100" s="2" t="s">
        <v>53</v>
      </c>
      <c r="K100" s="2">
        <f>3-1</f>
        <v>2</v>
      </c>
      <c r="L100" s="10">
        <f>SUMSQ(U84:U86)/9-R89</f>
        <v>371.93336296294729</v>
      </c>
      <c r="M100" s="10">
        <f t="shared" si="32"/>
        <v>185.96668148147364</v>
      </c>
      <c r="N100" s="10">
        <f>M100/M102</f>
        <v>0.63226938559645607</v>
      </c>
      <c r="O100" s="10">
        <f>FINV(5%,K100,K102)</f>
        <v>3.6337234675916301</v>
      </c>
      <c r="P100" s="2" t="str">
        <f>IF(N100&gt;O100,"*","NS")</f>
        <v>NS</v>
      </c>
      <c r="R100" s="33" t="s">
        <v>78</v>
      </c>
      <c r="S100" s="33"/>
      <c r="T100" s="33"/>
      <c r="U100" s="33"/>
      <c r="V100" s="33"/>
      <c r="W100" s="33"/>
      <c r="X100" s="33"/>
      <c r="Y100" s="33"/>
    </row>
    <row r="101" spans="1:25" x14ac:dyDescent="0.35">
      <c r="A101" s="1" t="s">
        <v>4</v>
      </c>
      <c r="B101" s="4">
        <v>45</v>
      </c>
      <c r="C101" s="4">
        <v>50</v>
      </c>
      <c r="D101" s="4">
        <v>48.5</v>
      </c>
      <c r="E101" s="4">
        <v>33</v>
      </c>
      <c r="F101" s="4">
        <v>38</v>
      </c>
      <c r="G101" s="2">
        <f t="shared" si="33"/>
        <v>214.5</v>
      </c>
      <c r="H101" s="5">
        <f t="shared" si="34"/>
        <v>42.9</v>
      </c>
      <c r="J101" s="2" t="s">
        <v>54</v>
      </c>
      <c r="K101" s="2">
        <f>K99*K100</f>
        <v>4</v>
      </c>
      <c r="L101" s="10">
        <f>L98-L99-L100</f>
        <v>1059.2409481481736</v>
      </c>
      <c r="M101" s="10">
        <f t="shared" si="32"/>
        <v>264.81023703704341</v>
      </c>
      <c r="N101" s="10">
        <f>M101/M102</f>
        <v>0.90033012654335709</v>
      </c>
      <c r="O101" s="10">
        <f>FINV(5%,K101,K102)</f>
        <v>3.0069172799243447</v>
      </c>
      <c r="P101" s="2" t="str">
        <f>IF(N101&gt;O101,"*","NS")</f>
        <v>NS</v>
      </c>
    </row>
    <row r="102" spans="1:25" x14ac:dyDescent="0.35">
      <c r="A102" s="1" t="s">
        <v>3</v>
      </c>
      <c r="B102" s="4">
        <v>49.5</v>
      </c>
      <c r="C102" s="4">
        <v>57</v>
      </c>
      <c r="D102" s="4">
        <v>55</v>
      </c>
      <c r="E102" s="4">
        <v>39</v>
      </c>
      <c r="F102" s="4">
        <v>54</v>
      </c>
      <c r="G102" s="2">
        <f t="shared" si="33"/>
        <v>254.5</v>
      </c>
      <c r="H102" s="2">
        <f t="shared" si="34"/>
        <v>50.9</v>
      </c>
      <c r="J102" s="2" t="s">
        <v>47</v>
      </c>
      <c r="K102" s="2">
        <f>K103-K98-K97</f>
        <v>16</v>
      </c>
      <c r="L102" s="10">
        <f>L103-L98-L97</f>
        <v>4706.0113481481458</v>
      </c>
      <c r="M102" s="10">
        <f t="shared" si="32"/>
        <v>294.12570925925911</v>
      </c>
      <c r="N102" s="18"/>
      <c r="O102" s="18"/>
      <c r="P102" s="6"/>
      <c r="Q102" s="6"/>
    </row>
    <row r="103" spans="1:25" x14ac:dyDescent="0.35">
      <c r="A103" s="1" t="s">
        <v>7</v>
      </c>
      <c r="B103" s="4">
        <v>67</v>
      </c>
      <c r="C103" s="4">
        <v>68.5</v>
      </c>
      <c r="D103" s="4">
        <v>53.5</v>
      </c>
      <c r="E103" s="4">
        <v>68</v>
      </c>
      <c r="F103" s="4">
        <v>28</v>
      </c>
      <c r="G103" s="2">
        <f t="shared" si="33"/>
        <v>285</v>
      </c>
      <c r="H103" s="2">
        <f t="shared" si="34"/>
        <v>57</v>
      </c>
      <c r="J103" s="2" t="s">
        <v>48</v>
      </c>
      <c r="K103" s="2">
        <f>27-1</f>
        <v>26</v>
      </c>
      <c r="L103" s="10">
        <f>SUMSQ(K83:M91)-R89</f>
        <v>7137.8643851851739</v>
      </c>
      <c r="M103" s="18"/>
      <c r="N103" s="18"/>
      <c r="O103" s="18"/>
      <c r="P103" s="6"/>
      <c r="Q103" s="6"/>
    </row>
    <row r="104" spans="1:25" x14ac:dyDescent="0.35">
      <c r="A104" s="1" t="s">
        <v>2</v>
      </c>
      <c r="B104" s="4">
        <v>48</v>
      </c>
      <c r="C104" s="4">
        <v>33</v>
      </c>
      <c r="D104" s="4">
        <v>32</v>
      </c>
      <c r="E104" s="4">
        <v>40</v>
      </c>
      <c r="F104" s="4">
        <v>61</v>
      </c>
      <c r="G104" s="2">
        <f t="shared" si="33"/>
        <v>214</v>
      </c>
      <c r="H104" s="5">
        <f t="shared" si="34"/>
        <v>42.8</v>
      </c>
    </row>
    <row r="105" spans="1:25" x14ac:dyDescent="0.35">
      <c r="A105" s="1" t="s">
        <v>5</v>
      </c>
      <c r="B105" s="4">
        <v>55.5</v>
      </c>
      <c r="C105" s="4">
        <v>40</v>
      </c>
      <c r="D105" s="4">
        <v>69</v>
      </c>
      <c r="E105" s="4">
        <v>62.5</v>
      </c>
      <c r="F105" s="4">
        <v>64.5</v>
      </c>
      <c r="G105" s="2">
        <f t="shared" si="33"/>
        <v>291.5</v>
      </c>
      <c r="H105" s="5">
        <f t="shared" si="34"/>
        <v>58.3</v>
      </c>
    </row>
    <row r="106" spans="1:25" x14ac:dyDescent="0.35">
      <c r="A106" s="1" t="s">
        <v>1</v>
      </c>
      <c r="B106" s="4">
        <v>36.5</v>
      </c>
      <c r="C106" s="4">
        <v>16</v>
      </c>
      <c r="D106" s="4">
        <v>38</v>
      </c>
      <c r="E106" s="4">
        <v>41</v>
      </c>
      <c r="F106" s="4">
        <v>32</v>
      </c>
      <c r="G106" s="2">
        <f t="shared" si="33"/>
        <v>163.5</v>
      </c>
      <c r="H106" s="2">
        <f t="shared" si="34"/>
        <v>32.700000000000003</v>
      </c>
    </row>
    <row r="108" spans="1:25" x14ac:dyDescent="0.35">
      <c r="A108" s="26" t="s">
        <v>0</v>
      </c>
      <c r="B108" s="27" t="s">
        <v>20</v>
      </c>
      <c r="C108" s="27"/>
      <c r="D108" s="27"/>
      <c r="E108" s="27"/>
      <c r="F108" s="27"/>
      <c r="G108" s="26" t="s">
        <v>12</v>
      </c>
      <c r="H108" s="26" t="s">
        <v>13</v>
      </c>
    </row>
    <row r="109" spans="1:25" x14ac:dyDescent="0.35">
      <c r="A109" s="26"/>
      <c r="B109" s="27" t="s">
        <v>11</v>
      </c>
      <c r="C109" s="27"/>
      <c r="D109" s="27"/>
      <c r="E109" s="27"/>
      <c r="F109" s="27"/>
      <c r="G109" s="26"/>
      <c r="H109" s="26"/>
    </row>
    <row r="110" spans="1:25" x14ac:dyDescent="0.35">
      <c r="A110" s="26"/>
      <c r="B110" s="3">
        <v>1</v>
      </c>
      <c r="C110" s="3">
        <v>2</v>
      </c>
      <c r="D110" s="3">
        <v>3</v>
      </c>
      <c r="E110" s="3">
        <v>4</v>
      </c>
      <c r="F110" s="3">
        <v>5</v>
      </c>
      <c r="G110" s="26"/>
      <c r="H110" s="26"/>
    </row>
    <row r="111" spans="1:25" x14ac:dyDescent="0.35">
      <c r="A111" s="1" t="s">
        <v>7</v>
      </c>
      <c r="B111" s="4">
        <v>30.5</v>
      </c>
      <c r="C111" s="4">
        <v>40</v>
      </c>
      <c r="D111" s="4">
        <v>43</v>
      </c>
      <c r="E111" s="4">
        <v>48</v>
      </c>
      <c r="F111" s="4">
        <v>44</v>
      </c>
      <c r="G111" s="2">
        <f>SUM(B111:F111)</f>
        <v>205.5</v>
      </c>
      <c r="H111" s="2">
        <f>AVERAGE(B111:F111)</f>
        <v>41.1</v>
      </c>
    </row>
    <row r="112" spans="1:25" x14ac:dyDescent="0.35">
      <c r="A112" s="1" t="s">
        <v>9</v>
      </c>
      <c r="B112" s="4">
        <v>30.6</v>
      </c>
      <c r="C112" s="4">
        <v>41</v>
      </c>
      <c r="D112" s="4">
        <v>44</v>
      </c>
      <c r="E112" s="4">
        <v>54</v>
      </c>
      <c r="F112" s="4">
        <v>60.5</v>
      </c>
      <c r="G112" s="2">
        <f t="shared" ref="G112:G119" si="35">SUM(B112:F112)</f>
        <v>230.1</v>
      </c>
      <c r="H112" s="2">
        <f t="shared" ref="H112:H119" si="36">AVERAGE(B112:F112)</f>
        <v>46.019999999999996</v>
      </c>
    </row>
    <row r="113" spans="1:8" x14ac:dyDescent="0.35">
      <c r="A113" s="1" t="s">
        <v>6</v>
      </c>
      <c r="B113" s="4">
        <v>54</v>
      </c>
      <c r="C113" s="4">
        <v>39.5</v>
      </c>
      <c r="D113" s="4">
        <v>49</v>
      </c>
      <c r="E113" s="4">
        <v>46</v>
      </c>
      <c r="F113" s="4">
        <v>39</v>
      </c>
      <c r="G113" s="2">
        <f t="shared" si="35"/>
        <v>227.5</v>
      </c>
      <c r="H113" s="2">
        <f t="shared" si="36"/>
        <v>45.5</v>
      </c>
    </row>
    <row r="114" spans="1:8" x14ac:dyDescent="0.35">
      <c r="A114" s="1" t="s">
        <v>5</v>
      </c>
      <c r="B114" s="4">
        <v>47.5</v>
      </c>
      <c r="C114" s="4">
        <v>31.5</v>
      </c>
      <c r="D114" s="4">
        <v>39</v>
      </c>
      <c r="E114" s="4">
        <v>54.5</v>
      </c>
      <c r="F114" s="4">
        <v>42.5</v>
      </c>
      <c r="G114" s="2">
        <f t="shared" si="35"/>
        <v>215</v>
      </c>
      <c r="H114" s="5">
        <f t="shared" si="36"/>
        <v>43</v>
      </c>
    </row>
    <row r="115" spans="1:8" x14ac:dyDescent="0.35">
      <c r="A115" s="1" t="s">
        <v>8</v>
      </c>
      <c r="B115" s="4">
        <v>49</v>
      </c>
      <c r="C115" s="4">
        <v>53</v>
      </c>
      <c r="D115" s="4">
        <v>33</v>
      </c>
      <c r="E115" s="4">
        <v>38</v>
      </c>
      <c r="F115" s="4">
        <v>60</v>
      </c>
      <c r="G115" s="2">
        <f t="shared" si="35"/>
        <v>233</v>
      </c>
      <c r="H115" s="2">
        <f t="shared" si="36"/>
        <v>46.6</v>
      </c>
    </row>
    <row r="116" spans="1:8" x14ac:dyDescent="0.35">
      <c r="A116" s="1" t="s">
        <v>2</v>
      </c>
      <c r="B116" s="4">
        <v>14</v>
      </c>
      <c r="C116" s="4">
        <v>34</v>
      </c>
      <c r="D116" s="4">
        <v>32</v>
      </c>
      <c r="E116" s="4">
        <v>39</v>
      </c>
      <c r="F116" s="4">
        <v>31.5</v>
      </c>
      <c r="G116" s="2">
        <f t="shared" si="35"/>
        <v>150.5</v>
      </c>
      <c r="H116" s="5">
        <f t="shared" si="36"/>
        <v>30.1</v>
      </c>
    </row>
    <row r="117" spans="1:8" x14ac:dyDescent="0.35">
      <c r="A117" s="1" t="s">
        <v>3</v>
      </c>
      <c r="B117" s="4">
        <v>54.5</v>
      </c>
      <c r="C117" s="4">
        <v>32</v>
      </c>
      <c r="D117" s="4">
        <v>425</v>
      </c>
      <c r="E117" s="4">
        <v>53</v>
      </c>
      <c r="F117" s="4">
        <v>57.5</v>
      </c>
      <c r="G117" s="2">
        <f t="shared" si="35"/>
        <v>622</v>
      </c>
      <c r="H117" s="5">
        <f t="shared" si="36"/>
        <v>124.4</v>
      </c>
    </row>
    <row r="118" spans="1:8" x14ac:dyDescent="0.35">
      <c r="A118" s="1" t="s">
        <v>4</v>
      </c>
      <c r="B118" s="4">
        <v>55</v>
      </c>
      <c r="C118" s="4">
        <v>32</v>
      </c>
      <c r="D118" s="4">
        <v>47</v>
      </c>
      <c r="E118" s="4">
        <v>47.5</v>
      </c>
      <c r="F118" s="4">
        <v>57</v>
      </c>
      <c r="G118" s="2">
        <f t="shared" si="35"/>
        <v>238.5</v>
      </c>
      <c r="H118" s="5">
        <f t="shared" si="36"/>
        <v>47.7</v>
      </c>
    </row>
    <row r="119" spans="1:8" x14ac:dyDescent="0.35">
      <c r="A119" s="1" t="s">
        <v>1</v>
      </c>
      <c r="B119" s="4">
        <v>41</v>
      </c>
      <c r="C119" s="4">
        <v>36</v>
      </c>
      <c r="D119" s="4">
        <v>47</v>
      </c>
      <c r="E119" s="4">
        <v>32</v>
      </c>
      <c r="F119" s="4">
        <v>46.5</v>
      </c>
      <c r="G119" s="2">
        <f t="shared" si="35"/>
        <v>202.5</v>
      </c>
      <c r="H119" s="5">
        <f t="shared" si="36"/>
        <v>40.5</v>
      </c>
    </row>
  </sheetData>
  <mergeCells count="51">
    <mergeCell ref="R100:Y100"/>
    <mergeCell ref="R60:Y60"/>
    <mergeCell ref="R20:Y20"/>
    <mergeCell ref="A1:H1"/>
    <mergeCell ref="A2:A4"/>
    <mergeCell ref="B2:F2"/>
    <mergeCell ref="G2:G4"/>
    <mergeCell ref="H2:H4"/>
    <mergeCell ref="B3:F3"/>
    <mergeCell ref="A28:A30"/>
    <mergeCell ref="B28:F28"/>
    <mergeCell ref="G28:G30"/>
    <mergeCell ref="H28:H30"/>
    <mergeCell ref="B29:F29"/>
    <mergeCell ref="A15:A17"/>
    <mergeCell ref="B15:F15"/>
    <mergeCell ref="G15:G17"/>
    <mergeCell ref="H15:H17"/>
    <mergeCell ref="B16:F16"/>
    <mergeCell ref="A41:H41"/>
    <mergeCell ref="A42:A44"/>
    <mergeCell ref="B42:F42"/>
    <mergeCell ref="G42:G44"/>
    <mergeCell ref="H42:H44"/>
    <mergeCell ref="B43:F43"/>
    <mergeCell ref="A68:A70"/>
    <mergeCell ref="B68:F68"/>
    <mergeCell ref="G68:G70"/>
    <mergeCell ref="H68:H70"/>
    <mergeCell ref="B69:F69"/>
    <mergeCell ref="A55:A57"/>
    <mergeCell ref="B55:F55"/>
    <mergeCell ref="G55:G57"/>
    <mergeCell ref="H55:H57"/>
    <mergeCell ref="B56:F56"/>
    <mergeCell ref="A81:H81"/>
    <mergeCell ref="A82:A84"/>
    <mergeCell ref="B82:F82"/>
    <mergeCell ref="G82:G84"/>
    <mergeCell ref="H82:H84"/>
    <mergeCell ref="B83:F83"/>
    <mergeCell ref="A108:A110"/>
    <mergeCell ref="B108:F108"/>
    <mergeCell ref="G108:G110"/>
    <mergeCell ref="H108:H110"/>
    <mergeCell ref="B109:F109"/>
    <mergeCell ref="A95:A97"/>
    <mergeCell ref="B95:F95"/>
    <mergeCell ref="G95:G97"/>
    <mergeCell ref="H95:H97"/>
    <mergeCell ref="B96:F9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19"/>
  <sheetViews>
    <sheetView topLeftCell="A40" workbookViewId="0">
      <selection activeCell="R48" sqref="R48"/>
    </sheetView>
  </sheetViews>
  <sheetFormatPr defaultRowHeight="14.5" x14ac:dyDescent="0.35"/>
  <cols>
    <col min="24" max="24" width="11.81640625" bestFit="1" customWidth="1"/>
    <col min="25" max="25" width="10.26953125" bestFit="1" customWidth="1"/>
    <col min="26" max="26" width="11.81640625" bestFit="1" customWidth="1"/>
  </cols>
  <sheetData>
    <row r="1" spans="1:21" x14ac:dyDescent="0.35">
      <c r="A1" s="31" t="s">
        <v>23</v>
      </c>
      <c r="B1" s="31"/>
      <c r="C1" s="31"/>
      <c r="D1" s="31"/>
      <c r="E1" s="31"/>
      <c r="F1" s="31"/>
      <c r="G1" s="31"/>
      <c r="H1" s="31"/>
    </row>
    <row r="2" spans="1:21" x14ac:dyDescent="0.35">
      <c r="A2" s="26" t="s">
        <v>0</v>
      </c>
      <c r="B2" s="27" t="s">
        <v>10</v>
      </c>
      <c r="C2" s="27"/>
      <c r="D2" s="27"/>
      <c r="E2" s="27"/>
      <c r="F2" s="27"/>
      <c r="G2" s="26" t="s">
        <v>12</v>
      </c>
      <c r="H2" s="26" t="s">
        <v>13</v>
      </c>
      <c r="J2" s="2" t="s">
        <v>28</v>
      </c>
      <c r="K2" s="2" t="s">
        <v>10</v>
      </c>
      <c r="L2" s="2" t="s">
        <v>16</v>
      </c>
      <c r="M2" s="2" t="s">
        <v>20</v>
      </c>
      <c r="N2" s="2" t="s">
        <v>29</v>
      </c>
      <c r="O2" s="2" t="s">
        <v>30</v>
      </c>
      <c r="Q2" s="8" t="s">
        <v>31</v>
      </c>
      <c r="R2" s="9"/>
    </row>
    <row r="3" spans="1:21" x14ac:dyDescent="0.35">
      <c r="A3" s="26"/>
      <c r="B3" s="27" t="s">
        <v>11</v>
      </c>
      <c r="C3" s="27"/>
      <c r="D3" s="27"/>
      <c r="E3" s="27"/>
      <c r="F3" s="27"/>
      <c r="G3" s="26"/>
      <c r="H3" s="26"/>
      <c r="J3" s="2" t="s">
        <v>8</v>
      </c>
      <c r="K3" s="5">
        <f>H12</f>
        <v>8.1999999999999993</v>
      </c>
      <c r="L3" s="5">
        <f>H20</f>
        <v>8</v>
      </c>
      <c r="M3" s="5">
        <f>H35</f>
        <v>8.8000000000000007</v>
      </c>
      <c r="N3" s="5">
        <f>SUM(K3:M3)</f>
        <v>25</v>
      </c>
      <c r="O3" s="19">
        <f>AVERAGE(K3:M3)</f>
        <v>8.3333333333333339</v>
      </c>
      <c r="Q3" s="12"/>
      <c r="R3" s="12" t="s">
        <v>32</v>
      </c>
      <c r="S3" s="12" t="s">
        <v>33</v>
      </c>
      <c r="T3" s="12" t="s">
        <v>49</v>
      </c>
      <c r="U3" s="12" t="s">
        <v>29</v>
      </c>
    </row>
    <row r="4" spans="1:21" x14ac:dyDescent="0.35">
      <c r="A4" s="26"/>
      <c r="B4" s="3">
        <v>1</v>
      </c>
      <c r="C4" s="3">
        <v>2</v>
      </c>
      <c r="D4" s="3">
        <v>3</v>
      </c>
      <c r="E4" s="3">
        <v>4</v>
      </c>
      <c r="F4" s="3">
        <v>5</v>
      </c>
      <c r="G4" s="26"/>
      <c r="H4" s="26"/>
      <c r="J4" s="2" t="s">
        <v>6</v>
      </c>
      <c r="K4" s="5">
        <f>H10</f>
        <v>7.2</v>
      </c>
      <c r="L4" s="5">
        <f>H18</f>
        <v>7.4</v>
      </c>
      <c r="M4" s="5">
        <f>H33</f>
        <v>8</v>
      </c>
      <c r="N4" s="5">
        <f t="shared" ref="N4:N11" si="0">SUM(K4:M4)</f>
        <v>22.6</v>
      </c>
      <c r="O4" s="19">
        <f t="shared" ref="O4:O11" si="1">AVERAGE(K4:M4)</f>
        <v>7.5333333333333341</v>
      </c>
      <c r="Q4" s="12" t="s">
        <v>50</v>
      </c>
      <c r="R4" s="11">
        <f>N3</f>
        <v>25</v>
      </c>
      <c r="S4" s="11">
        <f>N6</f>
        <v>21.2</v>
      </c>
      <c r="T4" s="11">
        <f>N9</f>
        <v>25</v>
      </c>
      <c r="U4" s="11">
        <f>SUM(R4:T4)</f>
        <v>71.2</v>
      </c>
    </row>
    <row r="5" spans="1:21" x14ac:dyDescent="0.35">
      <c r="A5" s="1" t="s">
        <v>1</v>
      </c>
      <c r="B5" s="4">
        <v>14</v>
      </c>
      <c r="C5" s="4">
        <v>9</v>
      </c>
      <c r="D5" s="4">
        <v>15</v>
      </c>
      <c r="E5" s="4">
        <v>10</v>
      </c>
      <c r="F5" s="4">
        <v>15</v>
      </c>
      <c r="G5" s="2">
        <f>SUM(B5:F5)</f>
        <v>63</v>
      </c>
      <c r="H5" s="2">
        <f>AVERAGE(B5:F5)</f>
        <v>12.6</v>
      </c>
      <c r="J5" s="2" t="s">
        <v>5</v>
      </c>
      <c r="K5" s="5">
        <f>H9</f>
        <v>8.8000000000000007</v>
      </c>
      <c r="L5" s="5">
        <f>H25</f>
        <v>5.6</v>
      </c>
      <c r="M5" s="5">
        <f>H34</f>
        <v>8.6</v>
      </c>
      <c r="N5" s="5">
        <f t="shared" si="0"/>
        <v>23</v>
      </c>
      <c r="O5" s="19">
        <f t="shared" si="1"/>
        <v>7.666666666666667</v>
      </c>
      <c r="Q5" s="12" t="s">
        <v>51</v>
      </c>
      <c r="R5" s="11">
        <f>N4</f>
        <v>22.6</v>
      </c>
      <c r="S5" s="11">
        <f>N7</f>
        <v>21.799999999999997</v>
      </c>
      <c r="T5" s="11">
        <f>N10</f>
        <v>27</v>
      </c>
      <c r="U5" s="11">
        <f>SUM(R5:T5)</f>
        <v>71.400000000000006</v>
      </c>
    </row>
    <row r="6" spans="1:21" x14ac:dyDescent="0.35">
      <c r="A6" s="1" t="s">
        <v>2</v>
      </c>
      <c r="B6" s="4">
        <v>14</v>
      </c>
      <c r="C6" s="4">
        <v>12</v>
      </c>
      <c r="D6" s="4">
        <v>14</v>
      </c>
      <c r="E6" s="4">
        <v>12</v>
      </c>
      <c r="F6" s="4">
        <v>13</v>
      </c>
      <c r="G6" s="2">
        <f t="shared" ref="G6:G13" si="2">SUM(B6:F6)</f>
        <v>65</v>
      </c>
      <c r="H6" s="2">
        <f t="shared" ref="H6:H13" si="3">AVERAGE(B6:F6)</f>
        <v>13</v>
      </c>
      <c r="J6" s="2" t="s">
        <v>3</v>
      </c>
      <c r="K6" s="5">
        <f>H7</f>
        <v>9.6</v>
      </c>
      <c r="L6" s="5">
        <f>H22</f>
        <v>5</v>
      </c>
      <c r="M6" s="5">
        <f>H37</f>
        <v>6.6</v>
      </c>
      <c r="N6" s="5">
        <f t="shared" si="0"/>
        <v>21.2</v>
      </c>
      <c r="O6" s="19">
        <f t="shared" si="1"/>
        <v>7.0666666666666664</v>
      </c>
      <c r="Q6" s="12" t="s">
        <v>52</v>
      </c>
      <c r="R6" s="11">
        <f>N5</f>
        <v>23</v>
      </c>
      <c r="S6" s="11">
        <f>N8</f>
        <v>22</v>
      </c>
      <c r="T6" s="11">
        <f>N11</f>
        <v>23.4</v>
      </c>
      <c r="U6" s="11">
        <f>SUM(R6:T6)</f>
        <v>68.400000000000006</v>
      </c>
    </row>
    <row r="7" spans="1:21" x14ac:dyDescent="0.35">
      <c r="A7" s="1" t="s">
        <v>3</v>
      </c>
      <c r="B7" s="4">
        <v>10</v>
      </c>
      <c r="C7" s="4">
        <v>13</v>
      </c>
      <c r="D7" s="4">
        <v>8</v>
      </c>
      <c r="E7" s="4">
        <v>11</v>
      </c>
      <c r="F7" s="4">
        <v>6</v>
      </c>
      <c r="G7" s="2">
        <f t="shared" si="2"/>
        <v>48</v>
      </c>
      <c r="H7" s="2">
        <f t="shared" si="3"/>
        <v>9.6</v>
      </c>
      <c r="J7" s="2" t="s">
        <v>7</v>
      </c>
      <c r="K7" s="5">
        <f>H11</f>
        <v>8.6</v>
      </c>
      <c r="L7" s="5">
        <f>H23</f>
        <v>8.1999999999999993</v>
      </c>
      <c r="M7" s="5">
        <f>H31</f>
        <v>5</v>
      </c>
      <c r="N7" s="5">
        <f t="shared" si="0"/>
        <v>21.799999999999997</v>
      </c>
      <c r="O7" s="19">
        <f t="shared" si="1"/>
        <v>7.2666666666666657</v>
      </c>
      <c r="Q7" s="12" t="s">
        <v>29</v>
      </c>
      <c r="R7" s="11">
        <f>SUM(R4:R6)</f>
        <v>70.599999999999994</v>
      </c>
      <c r="S7" s="11">
        <f t="shared" ref="S7:U7" si="4">SUM(S4:S6)</f>
        <v>65</v>
      </c>
      <c r="T7" s="11">
        <f t="shared" si="4"/>
        <v>75.400000000000006</v>
      </c>
      <c r="U7" s="13">
        <f t="shared" si="4"/>
        <v>211.00000000000003</v>
      </c>
    </row>
    <row r="8" spans="1:21" x14ac:dyDescent="0.35">
      <c r="A8" s="1" t="s">
        <v>4</v>
      </c>
      <c r="B8" s="4">
        <v>10</v>
      </c>
      <c r="C8" s="4">
        <v>10</v>
      </c>
      <c r="D8" s="4">
        <v>11</v>
      </c>
      <c r="E8" s="4">
        <v>13</v>
      </c>
      <c r="F8" s="4">
        <v>5</v>
      </c>
      <c r="G8" s="4">
        <f t="shared" si="2"/>
        <v>49</v>
      </c>
      <c r="H8" s="5">
        <f t="shared" si="3"/>
        <v>9.8000000000000007</v>
      </c>
      <c r="J8" s="2" t="s">
        <v>4</v>
      </c>
      <c r="K8" s="5">
        <f>H8</f>
        <v>9.8000000000000007</v>
      </c>
      <c r="L8" s="5">
        <f>H21</f>
        <v>7</v>
      </c>
      <c r="M8" s="5">
        <f>H38</f>
        <v>5.2</v>
      </c>
      <c r="N8" s="5">
        <f t="shared" si="0"/>
        <v>22</v>
      </c>
      <c r="O8" s="19">
        <f t="shared" si="1"/>
        <v>7.333333333333333</v>
      </c>
    </row>
    <row r="9" spans="1:21" x14ac:dyDescent="0.35">
      <c r="A9" s="1" t="s">
        <v>5</v>
      </c>
      <c r="B9" s="4">
        <v>7</v>
      </c>
      <c r="C9" s="4">
        <v>7</v>
      </c>
      <c r="D9" s="4">
        <v>6</v>
      </c>
      <c r="E9" s="4">
        <v>10</v>
      </c>
      <c r="F9" s="4">
        <v>14</v>
      </c>
      <c r="G9" s="2">
        <f t="shared" si="2"/>
        <v>44</v>
      </c>
      <c r="H9" s="2">
        <f t="shared" si="3"/>
        <v>8.8000000000000007</v>
      </c>
      <c r="J9" s="2" t="s">
        <v>1</v>
      </c>
      <c r="K9" s="5">
        <f>H5</f>
        <v>12.6</v>
      </c>
      <c r="L9" s="5">
        <f>H26</f>
        <v>4.4000000000000004</v>
      </c>
      <c r="M9" s="5">
        <f>H39</f>
        <v>8</v>
      </c>
      <c r="N9" s="5">
        <f t="shared" si="0"/>
        <v>25</v>
      </c>
      <c r="O9" s="19">
        <f t="shared" si="1"/>
        <v>8.3333333333333339</v>
      </c>
      <c r="Q9" s="14" t="s">
        <v>34</v>
      </c>
      <c r="R9" s="14">
        <f>U7^2/27</f>
        <v>1648.9259259259265</v>
      </c>
    </row>
    <row r="10" spans="1:21" x14ac:dyDescent="0.35">
      <c r="A10" s="1" t="s">
        <v>6</v>
      </c>
      <c r="B10" s="4">
        <v>6</v>
      </c>
      <c r="C10" s="4">
        <v>6</v>
      </c>
      <c r="D10" s="4">
        <v>8</v>
      </c>
      <c r="E10" s="4">
        <v>10</v>
      </c>
      <c r="F10" s="4">
        <v>6</v>
      </c>
      <c r="G10" s="2">
        <f t="shared" si="2"/>
        <v>36</v>
      </c>
      <c r="H10" s="2">
        <f t="shared" si="3"/>
        <v>7.2</v>
      </c>
      <c r="J10" s="2" t="s">
        <v>2</v>
      </c>
      <c r="K10" s="5">
        <f>H6</f>
        <v>13</v>
      </c>
      <c r="L10" s="5">
        <f>H24</f>
        <v>4.5999999999999996</v>
      </c>
      <c r="M10" s="5">
        <f>H36</f>
        <v>9.4</v>
      </c>
      <c r="N10" s="5">
        <f t="shared" si="0"/>
        <v>27</v>
      </c>
      <c r="O10" s="19">
        <f t="shared" si="1"/>
        <v>9</v>
      </c>
      <c r="Q10" s="15" t="s">
        <v>35</v>
      </c>
      <c r="R10" s="15">
        <f>SQRT(M22)/O13*100</f>
        <v>24.327134709316926</v>
      </c>
    </row>
    <row r="11" spans="1:21" x14ac:dyDescent="0.35">
      <c r="A11" s="1" t="s">
        <v>7</v>
      </c>
      <c r="B11" s="4">
        <v>10</v>
      </c>
      <c r="C11" s="4">
        <v>10</v>
      </c>
      <c r="D11" s="4">
        <v>7</v>
      </c>
      <c r="E11" s="4">
        <v>6</v>
      </c>
      <c r="F11" s="4">
        <v>10</v>
      </c>
      <c r="G11" s="4">
        <f t="shared" si="2"/>
        <v>43</v>
      </c>
      <c r="H11" s="5">
        <f t="shared" si="3"/>
        <v>8.6</v>
      </c>
      <c r="J11" s="2" t="s">
        <v>9</v>
      </c>
      <c r="K11" s="5">
        <f>H13</f>
        <v>9.1999999999999993</v>
      </c>
      <c r="L11" s="5">
        <f>H19</f>
        <v>7.2</v>
      </c>
      <c r="M11" s="5">
        <f>H32</f>
        <v>7</v>
      </c>
      <c r="N11" s="5">
        <f t="shared" si="0"/>
        <v>23.4</v>
      </c>
      <c r="O11" s="19">
        <f t="shared" si="1"/>
        <v>7.8</v>
      </c>
    </row>
    <row r="12" spans="1:21" x14ac:dyDescent="0.35">
      <c r="A12" s="1" t="s">
        <v>8</v>
      </c>
      <c r="B12" s="4">
        <v>7</v>
      </c>
      <c r="C12" s="4">
        <v>7</v>
      </c>
      <c r="D12" s="4">
        <v>6</v>
      </c>
      <c r="E12" s="4">
        <v>8</v>
      </c>
      <c r="F12" s="4">
        <v>13</v>
      </c>
      <c r="G12" s="2">
        <f t="shared" si="2"/>
        <v>41</v>
      </c>
      <c r="H12" s="5">
        <f t="shared" si="3"/>
        <v>8.1999999999999993</v>
      </c>
      <c r="J12" s="2" t="s">
        <v>12</v>
      </c>
      <c r="K12" s="5">
        <f>SUM(K3:K11)</f>
        <v>87</v>
      </c>
      <c r="L12" s="5">
        <f t="shared" ref="L12:N12" si="5">SUM(L3:L11)</f>
        <v>57.400000000000006</v>
      </c>
      <c r="M12" s="5">
        <f>SUM(M3:M11)</f>
        <v>66.599999999999994</v>
      </c>
      <c r="N12" s="20">
        <f t="shared" si="5"/>
        <v>211</v>
      </c>
      <c r="O12" s="19"/>
    </row>
    <row r="13" spans="1:21" x14ac:dyDescent="0.35">
      <c r="A13" s="1" t="s">
        <v>9</v>
      </c>
      <c r="B13" s="4">
        <v>14</v>
      </c>
      <c r="C13" s="4">
        <v>8</v>
      </c>
      <c r="D13" s="4">
        <v>9</v>
      </c>
      <c r="E13" s="4">
        <v>9</v>
      </c>
      <c r="F13" s="4">
        <v>6</v>
      </c>
      <c r="G13" s="2">
        <f t="shared" si="2"/>
        <v>46</v>
      </c>
      <c r="H13" s="2">
        <f t="shared" si="3"/>
        <v>9.1999999999999993</v>
      </c>
      <c r="J13" s="2" t="s">
        <v>13</v>
      </c>
      <c r="K13" s="19">
        <f>AVERAGE(K3:K11)</f>
        <v>9.6666666666666661</v>
      </c>
      <c r="L13" s="19">
        <f t="shared" ref="L13:M13" si="6">AVERAGE(L3:L11)</f>
        <v>6.3777777777777782</v>
      </c>
      <c r="M13" s="19">
        <f t="shared" si="6"/>
        <v>7.3999999999999995</v>
      </c>
      <c r="N13" s="19"/>
      <c r="O13" s="19">
        <f>AVERAGE(K3:M11)</f>
        <v>7.8148148148148131</v>
      </c>
    </row>
    <row r="14" spans="1:21" x14ac:dyDescent="0.35">
      <c r="J14" s="16"/>
    </row>
    <row r="15" spans="1:21" x14ac:dyDescent="0.35">
      <c r="A15" s="26" t="s">
        <v>0</v>
      </c>
      <c r="B15" s="27" t="s">
        <v>16</v>
      </c>
      <c r="C15" s="27"/>
      <c r="D15" s="27"/>
      <c r="E15" s="27"/>
      <c r="F15" s="27"/>
      <c r="G15" s="26" t="s">
        <v>12</v>
      </c>
      <c r="H15" s="26" t="s">
        <v>13</v>
      </c>
      <c r="J15" s="17" t="s">
        <v>36</v>
      </c>
      <c r="K15" s="9"/>
    </row>
    <row r="16" spans="1:21" x14ac:dyDescent="0.35">
      <c r="A16" s="26"/>
      <c r="B16" s="27" t="s">
        <v>11</v>
      </c>
      <c r="C16" s="27"/>
      <c r="D16" s="27"/>
      <c r="E16" s="27"/>
      <c r="F16" s="27"/>
      <c r="G16" s="26"/>
      <c r="H16" s="26"/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 t="s">
        <v>42</v>
      </c>
      <c r="P16" s="2" t="s">
        <v>43</v>
      </c>
    </row>
    <row r="17" spans="1:25" x14ac:dyDescent="0.35">
      <c r="A17" s="26"/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26"/>
      <c r="H17" s="26"/>
      <c r="J17" s="2" t="s">
        <v>44</v>
      </c>
      <c r="K17" s="6">
        <f>3-1</f>
        <v>2</v>
      </c>
      <c r="L17" s="10">
        <f>SUMSQ(K12:M12)/9-R9</f>
        <v>50.998518518517812</v>
      </c>
      <c r="M17" s="10">
        <f t="shared" ref="M17:M22" si="7">L17/K17</f>
        <v>25.499259259258906</v>
      </c>
      <c r="N17" s="10">
        <f>M17/M22</f>
        <v>7.055182661269515</v>
      </c>
      <c r="O17" s="10">
        <f>FINV(5%,K17,K22)</f>
        <v>3.6337234675916301</v>
      </c>
      <c r="P17" s="2" t="str">
        <f>IF(N17&gt;O17,"*","NS")</f>
        <v>*</v>
      </c>
    </row>
    <row r="18" spans="1:25" x14ac:dyDescent="0.35">
      <c r="A18" s="1" t="s">
        <v>6</v>
      </c>
      <c r="B18" s="4">
        <v>7</v>
      </c>
      <c r="C18" s="4">
        <v>6</v>
      </c>
      <c r="D18" s="4">
        <v>10</v>
      </c>
      <c r="E18" s="4">
        <v>7</v>
      </c>
      <c r="F18" s="4">
        <v>7</v>
      </c>
      <c r="G18" s="2">
        <f>SUM(B18:F18)</f>
        <v>37</v>
      </c>
      <c r="H18" s="2">
        <f>AVERAGE(B18:F18)</f>
        <v>7.4</v>
      </c>
      <c r="J18" s="2" t="s">
        <v>45</v>
      </c>
      <c r="K18" s="2">
        <f>9-1</f>
        <v>8</v>
      </c>
      <c r="L18" s="10">
        <f>SUMSQ(N3:N11)/3-R9</f>
        <v>9.4074074074067084</v>
      </c>
      <c r="M18" s="10">
        <f t="shared" si="7"/>
        <v>1.1759259259258386</v>
      </c>
      <c r="N18" s="10">
        <f>M18/M22</f>
        <v>0.32535738074496506</v>
      </c>
      <c r="O18" s="10">
        <f>FINV(5%,K18,K22)</f>
        <v>2.5910961798744014</v>
      </c>
      <c r="P18" s="2" t="str">
        <f>IF(N18&gt;O18,"*","NS")</f>
        <v>NS</v>
      </c>
    </row>
    <row r="19" spans="1:25" x14ac:dyDescent="0.35">
      <c r="A19" s="1" t="s">
        <v>9</v>
      </c>
      <c r="B19" s="4">
        <v>6</v>
      </c>
      <c r="C19" s="4">
        <v>6</v>
      </c>
      <c r="D19" s="4">
        <v>8</v>
      </c>
      <c r="E19" s="4">
        <v>6</v>
      </c>
      <c r="F19" s="4">
        <v>10</v>
      </c>
      <c r="G19" s="2">
        <f t="shared" ref="G19:G26" si="8">SUM(B19:F19)</f>
        <v>36</v>
      </c>
      <c r="H19" s="2">
        <f t="shared" ref="H19:H26" si="9">AVERAGE(B19:F19)</f>
        <v>7.2</v>
      </c>
      <c r="J19" s="2" t="s">
        <v>46</v>
      </c>
      <c r="K19" s="2">
        <f>3-1</f>
        <v>2</v>
      </c>
      <c r="L19" s="10">
        <f>SUMSQ(R7:T7)/9-R9</f>
        <v>6.0207407407401661</v>
      </c>
      <c r="M19" s="10">
        <f t="shared" si="7"/>
        <v>3.010370370370083</v>
      </c>
      <c r="N19" s="10">
        <f>M19/M22</f>
        <v>0.83291489470709301</v>
      </c>
      <c r="O19" s="10">
        <f>FINV(5%,K19,K22)</f>
        <v>3.6337234675916301</v>
      </c>
      <c r="P19" s="2" t="str">
        <f>IF(N19&gt;O19,"*","NS")</f>
        <v>NS</v>
      </c>
    </row>
    <row r="20" spans="1:25" x14ac:dyDescent="0.35">
      <c r="A20" s="1" t="s">
        <v>8</v>
      </c>
      <c r="B20" s="4">
        <v>7</v>
      </c>
      <c r="C20" s="4">
        <v>8</v>
      </c>
      <c r="D20" s="4">
        <v>8</v>
      </c>
      <c r="E20" s="4">
        <v>7</v>
      </c>
      <c r="F20" s="4">
        <v>10</v>
      </c>
      <c r="G20" s="2">
        <f t="shared" si="8"/>
        <v>40</v>
      </c>
      <c r="H20" s="2">
        <f t="shared" si="9"/>
        <v>8</v>
      </c>
      <c r="J20" s="2" t="s">
        <v>53</v>
      </c>
      <c r="K20" s="2">
        <f>3-1</f>
        <v>2</v>
      </c>
      <c r="L20" s="10">
        <f>SUMSQ(U4:U6)/9-R9</f>
        <v>0.62518518518481869</v>
      </c>
      <c r="M20" s="10">
        <f t="shared" si="7"/>
        <v>0.31259259259240935</v>
      </c>
      <c r="N20" s="10">
        <f>M20/M22</f>
        <v>8.6488702157042505E-2</v>
      </c>
      <c r="O20" s="10">
        <f>FINV(5%,K20,K22)</f>
        <v>3.6337234675916301</v>
      </c>
      <c r="P20" s="2" t="str">
        <f>IF(N20&gt;O20,"*","NS")</f>
        <v>NS</v>
      </c>
      <c r="R20" s="33" t="s">
        <v>78</v>
      </c>
      <c r="S20" s="33"/>
      <c r="T20" s="33"/>
      <c r="U20" s="33"/>
      <c r="V20" s="33"/>
      <c r="W20" s="33"/>
      <c r="X20" s="33"/>
      <c r="Y20" s="33"/>
    </row>
    <row r="21" spans="1:25" x14ac:dyDescent="0.35">
      <c r="A21" s="1" t="s">
        <v>4</v>
      </c>
      <c r="B21" s="4">
        <v>4</v>
      </c>
      <c r="C21" s="4">
        <v>8</v>
      </c>
      <c r="D21" s="4">
        <v>6</v>
      </c>
      <c r="E21" s="4">
        <v>10</v>
      </c>
      <c r="F21" s="4">
        <v>7</v>
      </c>
      <c r="G21" s="2">
        <f t="shared" si="8"/>
        <v>35</v>
      </c>
      <c r="H21" s="5">
        <f t="shared" si="9"/>
        <v>7</v>
      </c>
      <c r="J21" s="2" t="s">
        <v>54</v>
      </c>
      <c r="K21" s="2">
        <f>K19*K20</f>
        <v>4</v>
      </c>
      <c r="L21" s="10">
        <f>L18-L19-L20</f>
        <v>2.7614814814817237</v>
      </c>
      <c r="M21" s="10">
        <f t="shared" si="7"/>
        <v>0.69037037037043092</v>
      </c>
      <c r="N21" s="10">
        <f>M21/M22</f>
        <v>0.19101296305786242</v>
      </c>
      <c r="O21" s="10">
        <f>FINV(5%,K21,K22)</f>
        <v>3.0069172799243447</v>
      </c>
      <c r="P21" s="2" t="str">
        <f>IF(N21&gt;O21,"*","NS")</f>
        <v>NS</v>
      </c>
    </row>
    <row r="22" spans="1:25" x14ac:dyDescent="0.35">
      <c r="A22" s="1" t="s">
        <v>3</v>
      </c>
      <c r="B22" s="4">
        <v>5</v>
      </c>
      <c r="C22" s="4">
        <v>4</v>
      </c>
      <c r="D22" s="4">
        <v>5</v>
      </c>
      <c r="E22" s="4">
        <v>7</v>
      </c>
      <c r="F22" s="4">
        <v>4</v>
      </c>
      <c r="G22" s="2">
        <f t="shared" si="8"/>
        <v>25</v>
      </c>
      <c r="H22" s="2">
        <f t="shared" si="9"/>
        <v>5</v>
      </c>
      <c r="J22" s="2" t="s">
        <v>47</v>
      </c>
      <c r="K22" s="2">
        <f>K23-K18-K17</f>
        <v>16</v>
      </c>
      <c r="L22" s="10">
        <f>L23-L18-L17</f>
        <v>57.828148148148557</v>
      </c>
      <c r="M22" s="10">
        <f t="shared" si="7"/>
        <v>3.6142592592592848</v>
      </c>
      <c r="N22" s="18"/>
      <c r="O22" s="18"/>
      <c r="P22" s="6"/>
      <c r="Q22" s="6"/>
    </row>
    <row r="23" spans="1:25" x14ac:dyDescent="0.35">
      <c r="A23" s="1" t="s">
        <v>7</v>
      </c>
      <c r="B23" s="4">
        <v>8</v>
      </c>
      <c r="C23" s="4">
        <v>7</v>
      </c>
      <c r="D23" s="4">
        <v>11</v>
      </c>
      <c r="E23" s="4">
        <v>8</v>
      </c>
      <c r="F23" s="4">
        <v>7</v>
      </c>
      <c r="G23" s="2">
        <f t="shared" si="8"/>
        <v>41</v>
      </c>
      <c r="H23" s="2">
        <f t="shared" si="9"/>
        <v>8.1999999999999993</v>
      </c>
      <c r="J23" s="2" t="s">
        <v>48</v>
      </c>
      <c r="K23" s="2">
        <f>27-1</f>
        <v>26</v>
      </c>
      <c r="L23" s="10">
        <f>SUMSQ(K3:M11)-R9</f>
        <v>118.23407407407308</v>
      </c>
      <c r="M23" s="18"/>
      <c r="N23" s="18"/>
      <c r="O23" s="18"/>
      <c r="P23" s="6"/>
      <c r="Q23" s="6"/>
    </row>
    <row r="24" spans="1:25" x14ac:dyDescent="0.35">
      <c r="A24" s="1" t="s">
        <v>2</v>
      </c>
      <c r="B24" s="4">
        <v>5</v>
      </c>
      <c r="C24" s="4">
        <v>5</v>
      </c>
      <c r="D24" s="4">
        <v>5</v>
      </c>
      <c r="E24" s="4">
        <v>4</v>
      </c>
      <c r="F24" s="4">
        <v>4</v>
      </c>
      <c r="G24" s="2">
        <f t="shared" si="8"/>
        <v>23</v>
      </c>
      <c r="H24" s="5">
        <f t="shared" si="9"/>
        <v>4.5999999999999996</v>
      </c>
    </row>
    <row r="25" spans="1:25" x14ac:dyDescent="0.35">
      <c r="A25" s="1" t="s">
        <v>5</v>
      </c>
      <c r="B25" s="4">
        <v>4</v>
      </c>
      <c r="C25" s="4">
        <v>5</v>
      </c>
      <c r="D25" s="4">
        <v>7</v>
      </c>
      <c r="E25" s="4">
        <v>5</v>
      </c>
      <c r="F25" s="4">
        <v>7</v>
      </c>
      <c r="G25" s="2">
        <f t="shared" si="8"/>
        <v>28</v>
      </c>
      <c r="H25" s="5">
        <f t="shared" si="9"/>
        <v>5.6</v>
      </c>
    </row>
    <row r="26" spans="1:25" x14ac:dyDescent="0.35">
      <c r="A26" s="1" t="s">
        <v>1</v>
      </c>
      <c r="B26" s="4">
        <v>5</v>
      </c>
      <c r="C26" s="4">
        <v>4</v>
      </c>
      <c r="D26" s="4">
        <v>5</v>
      </c>
      <c r="E26" s="4">
        <v>5</v>
      </c>
      <c r="F26" s="4">
        <v>3</v>
      </c>
      <c r="G26" s="2">
        <f t="shared" si="8"/>
        <v>22</v>
      </c>
      <c r="H26" s="2">
        <f t="shared" si="9"/>
        <v>4.4000000000000004</v>
      </c>
    </row>
    <row r="28" spans="1:25" x14ac:dyDescent="0.35">
      <c r="A28" s="26" t="s">
        <v>0</v>
      </c>
      <c r="B28" s="27" t="s">
        <v>20</v>
      </c>
      <c r="C28" s="27"/>
      <c r="D28" s="27"/>
      <c r="E28" s="27"/>
      <c r="F28" s="27"/>
      <c r="G28" s="26" t="s">
        <v>12</v>
      </c>
      <c r="H28" s="26" t="s">
        <v>13</v>
      </c>
    </row>
    <row r="29" spans="1:25" x14ac:dyDescent="0.35">
      <c r="A29" s="26"/>
      <c r="B29" s="27" t="s">
        <v>11</v>
      </c>
      <c r="C29" s="27"/>
      <c r="D29" s="27"/>
      <c r="E29" s="27"/>
      <c r="F29" s="27"/>
      <c r="G29" s="26"/>
      <c r="H29" s="26"/>
    </row>
    <row r="30" spans="1:25" x14ac:dyDescent="0.35">
      <c r="A30" s="26"/>
      <c r="B30" s="3">
        <v>1</v>
      </c>
      <c r="C30" s="3">
        <v>2</v>
      </c>
      <c r="D30" s="3">
        <v>3</v>
      </c>
      <c r="E30" s="3">
        <v>4</v>
      </c>
      <c r="F30" s="3">
        <v>5</v>
      </c>
      <c r="G30" s="26"/>
      <c r="H30" s="26"/>
    </row>
    <row r="31" spans="1:25" x14ac:dyDescent="0.35">
      <c r="A31" s="1" t="s">
        <v>7</v>
      </c>
      <c r="B31" s="2">
        <v>4</v>
      </c>
      <c r="C31" s="2">
        <v>4</v>
      </c>
      <c r="D31" s="2">
        <v>7</v>
      </c>
      <c r="E31" s="4">
        <v>5</v>
      </c>
      <c r="F31" s="2">
        <v>5</v>
      </c>
      <c r="G31" s="2">
        <f>SUM(B31:F31)</f>
        <v>25</v>
      </c>
      <c r="H31" s="2">
        <f>AVERAGE(B31:F31)</f>
        <v>5</v>
      </c>
    </row>
    <row r="32" spans="1:25" x14ac:dyDescent="0.35">
      <c r="A32" s="1" t="s">
        <v>9</v>
      </c>
      <c r="B32" s="2">
        <v>6</v>
      </c>
      <c r="C32" s="2">
        <v>6</v>
      </c>
      <c r="D32" s="4">
        <v>8</v>
      </c>
      <c r="E32" s="2">
        <v>7</v>
      </c>
      <c r="F32" s="2">
        <v>8</v>
      </c>
      <c r="G32" s="2">
        <f t="shared" ref="G32:G39" si="10">SUM(B32:F32)</f>
        <v>35</v>
      </c>
      <c r="H32" s="2">
        <f t="shared" ref="H32:H39" si="11">AVERAGE(B32:F32)</f>
        <v>7</v>
      </c>
    </row>
    <row r="33" spans="1:27" x14ac:dyDescent="0.35">
      <c r="A33" s="1" t="s">
        <v>6</v>
      </c>
      <c r="B33" s="2">
        <v>10</v>
      </c>
      <c r="C33" s="2">
        <v>9</v>
      </c>
      <c r="D33" s="2">
        <v>7</v>
      </c>
      <c r="E33" s="2">
        <v>8</v>
      </c>
      <c r="F33" s="2">
        <v>6</v>
      </c>
      <c r="G33" s="2">
        <f t="shared" si="10"/>
        <v>40</v>
      </c>
      <c r="H33" s="2">
        <f t="shared" si="11"/>
        <v>8</v>
      </c>
    </row>
    <row r="34" spans="1:27" x14ac:dyDescent="0.35">
      <c r="A34" s="1" t="s">
        <v>5</v>
      </c>
      <c r="B34" s="4">
        <v>10</v>
      </c>
      <c r="C34" s="2">
        <v>10</v>
      </c>
      <c r="D34" s="2">
        <v>7</v>
      </c>
      <c r="E34" s="2">
        <v>6</v>
      </c>
      <c r="F34" s="2">
        <v>10</v>
      </c>
      <c r="G34" s="2">
        <f t="shared" si="10"/>
        <v>43</v>
      </c>
      <c r="H34" s="5">
        <f t="shared" si="11"/>
        <v>8.6</v>
      </c>
    </row>
    <row r="35" spans="1:27" x14ac:dyDescent="0.35">
      <c r="A35" s="1" t="s">
        <v>8</v>
      </c>
      <c r="B35" s="2">
        <v>9</v>
      </c>
      <c r="C35" s="2">
        <v>11</v>
      </c>
      <c r="D35" s="2">
        <v>5</v>
      </c>
      <c r="E35" s="4">
        <v>10</v>
      </c>
      <c r="F35" s="2">
        <v>9</v>
      </c>
      <c r="G35" s="2">
        <f t="shared" si="10"/>
        <v>44</v>
      </c>
      <c r="H35" s="2">
        <f t="shared" si="11"/>
        <v>8.8000000000000007</v>
      </c>
    </row>
    <row r="36" spans="1:27" x14ac:dyDescent="0.35">
      <c r="A36" s="1" t="s">
        <v>2</v>
      </c>
      <c r="B36" s="2">
        <v>12</v>
      </c>
      <c r="C36" s="2">
        <v>8</v>
      </c>
      <c r="D36" s="2">
        <v>6</v>
      </c>
      <c r="E36" s="2">
        <v>11</v>
      </c>
      <c r="F36" s="2">
        <v>10</v>
      </c>
      <c r="G36" s="2">
        <f t="shared" si="10"/>
        <v>47</v>
      </c>
      <c r="H36" s="5">
        <f t="shared" si="11"/>
        <v>9.4</v>
      </c>
    </row>
    <row r="37" spans="1:27" x14ac:dyDescent="0.35">
      <c r="A37" s="1" t="s">
        <v>3</v>
      </c>
      <c r="B37" s="2">
        <v>5</v>
      </c>
      <c r="C37" s="2">
        <v>5</v>
      </c>
      <c r="D37" s="2">
        <v>9</v>
      </c>
      <c r="E37" s="2">
        <v>6</v>
      </c>
      <c r="F37" s="4">
        <v>8</v>
      </c>
      <c r="G37" s="2">
        <f t="shared" si="10"/>
        <v>33</v>
      </c>
      <c r="H37" s="5">
        <f t="shared" si="11"/>
        <v>6.6</v>
      </c>
    </row>
    <row r="38" spans="1:27" x14ac:dyDescent="0.35">
      <c r="A38" s="1" t="s">
        <v>4</v>
      </c>
      <c r="B38" s="2">
        <v>7</v>
      </c>
      <c r="C38" s="2">
        <v>4</v>
      </c>
      <c r="D38" s="2">
        <v>4</v>
      </c>
      <c r="E38" s="2">
        <v>5</v>
      </c>
      <c r="F38" s="2">
        <v>6</v>
      </c>
      <c r="G38" s="2">
        <f t="shared" si="10"/>
        <v>26</v>
      </c>
      <c r="H38" s="5">
        <f t="shared" si="11"/>
        <v>5.2</v>
      </c>
    </row>
    <row r="39" spans="1:27" x14ac:dyDescent="0.35">
      <c r="A39" s="1" t="s">
        <v>1</v>
      </c>
      <c r="B39" s="2">
        <v>7</v>
      </c>
      <c r="C39" s="2">
        <v>9</v>
      </c>
      <c r="D39" s="2">
        <v>11</v>
      </c>
      <c r="E39" s="2">
        <v>7</v>
      </c>
      <c r="F39" s="2">
        <v>6</v>
      </c>
      <c r="G39" s="2">
        <f t="shared" si="10"/>
        <v>40</v>
      </c>
      <c r="H39" s="5">
        <f t="shared" si="11"/>
        <v>8</v>
      </c>
    </row>
    <row r="41" spans="1:27" x14ac:dyDescent="0.35">
      <c r="A41" s="31" t="s">
        <v>25</v>
      </c>
      <c r="B41" s="31"/>
      <c r="C41" s="31"/>
      <c r="D41" s="31"/>
      <c r="E41" s="31"/>
      <c r="F41" s="31"/>
      <c r="G41" s="31"/>
      <c r="H41" s="31"/>
    </row>
    <row r="42" spans="1:27" x14ac:dyDescent="0.35">
      <c r="A42" s="26" t="s">
        <v>0</v>
      </c>
      <c r="B42" s="27" t="s">
        <v>10</v>
      </c>
      <c r="C42" s="27"/>
      <c r="D42" s="27"/>
      <c r="E42" s="27"/>
      <c r="F42" s="27"/>
      <c r="G42" s="26" t="s">
        <v>12</v>
      </c>
      <c r="H42" s="26" t="s">
        <v>13</v>
      </c>
      <c r="J42" s="2" t="s">
        <v>28</v>
      </c>
      <c r="K42" s="2" t="s">
        <v>10</v>
      </c>
      <c r="L42" s="2" t="s">
        <v>16</v>
      </c>
      <c r="M42" s="2" t="s">
        <v>20</v>
      </c>
      <c r="N42" s="2" t="s">
        <v>29</v>
      </c>
      <c r="O42" s="2" t="s">
        <v>30</v>
      </c>
      <c r="Q42" s="8" t="s">
        <v>31</v>
      </c>
      <c r="R42" s="9"/>
    </row>
    <row r="43" spans="1:27" x14ac:dyDescent="0.35">
      <c r="A43" s="26"/>
      <c r="B43" s="27" t="s">
        <v>11</v>
      </c>
      <c r="C43" s="27"/>
      <c r="D43" s="27"/>
      <c r="E43" s="27"/>
      <c r="F43" s="27"/>
      <c r="G43" s="26"/>
      <c r="H43" s="26"/>
      <c r="J43" s="2" t="s">
        <v>8</v>
      </c>
      <c r="K43" s="5">
        <f>H52</f>
        <v>13.4</v>
      </c>
      <c r="L43" s="5">
        <f>H60</f>
        <v>11.6</v>
      </c>
      <c r="M43" s="5">
        <f>H75</f>
        <v>11.4</v>
      </c>
      <c r="N43" s="5">
        <f>SUM(K43:M43)</f>
        <v>36.4</v>
      </c>
      <c r="O43" s="19">
        <f>AVERAGE(K43:M43)</f>
        <v>12.133333333333333</v>
      </c>
      <c r="Q43" s="12"/>
      <c r="R43" s="12" t="s">
        <v>32</v>
      </c>
      <c r="S43" s="12" t="s">
        <v>33</v>
      </c>
      <c r="T43" s="12" t="s">
        <v>49</v>
      </c>
      <c r="U43" s="12" t="s">
        <v>29</v>
      </c>
      <c r="V43" s="12" t="s">
        <v>57</v>
      </c>
      <c r="X43" s="12" t="s">
        <v>58</v>
      </c>
      <c r="Y43" s="12" t="s">
        <v>59</v>
      </c>
      <c r="Z43" s="12" t="s">
        <v>60</v>
      </c>
    </row>
    <row r="44" spans="1:27" x14ac:dyDescent="0.35">
      <c r="A44" s="26"/>
      <c r="B44" s="3">
        <v>1</v>
      </c>
      <c r="C44" s="3">
        <v>2</v>
      </c>
      <c r="D44" s="3">
        <v>3</v>
      </c>
      <c r="E44" s="3">
        <v>4</v>
      </c>
      <c r="F44" s="3">
        <v>5</v>
      </c>
      <c r="G44" s="26"/>
      <c r="H44" s="26"/>
      <c r="J44" s="2" t="s">
        <v>6</v>
      </c>
      <c r="K44" s="5">
        <f>H50</f>
        <v>13.4</v>
      </c>
      <c r="L44" s="5">
        <f>H58</f>
        <v>12.4</v>
      </c>
      <c r="M44" s="5">
        <f>H73</f>
        <v>11.4</v>
      </c>
      <c r="N44" s="5">
        <f t="shared" ref="N44:N51" si="12">SUM(K44:M44)</f>
        <v>37.200000000000003</v>
      </c>
      <c r="O44" s="19">
        <f t="shared" ref="O44:O51" si="13">AVERAGE(K44:M44)</f>
        <v>12.4</v>
      </c>
      <c r="Q44" s="12" t="s">
        <v>50</v>
      </c>
      <c r="R44" s="11">
        <f>N43</f>
        <v>36.4</v>
      </c>
      <c r="S44" s="11">
        <f>N46</f>
        <v>36.200000000000003</v>
      </c>
      <c r="T44" s="11">
        <f>N49</f>
        <v>37.799999999999997</v>
      </c>
      <c r="U44" s="11">
        <f>SUM(R44:T44)</f>
        <v>110.39999999999999</v>
      </c>
      <c r="V44" s="12">
        <f>U44/(15*3)</f>
        <v>2.4533333333333331</v>
      </c>
      <c r="X44" s="12">
        <f>SQRT(M62/(15*3))</f>
        <v>0.15621553117750422</v>
      </c>
      <c r="Y44" s="12">
        <v>3</v>
      </c>
      <c r="Z44" s="12">
        <f>X44*Y44</f>
        <v>0.4686465935325127</v>
      </c>
    </row>
    <row r="45" spans="1:27" x14ac:dyDescent="0.35">
      <c r="A45" s="1" t="s">
        <v>1</v>
      </c>
      <c r="B45" s="4">
        <v>17</v>
      </c>
      <c r="C45" s="4">
        <v>15</v>
      </c>
      <c r="D45" s="4">
        <v>16</v>
      </c>
      <c r="E45" s="4">
        <v>16</v>
      </c>
      <c r="F45" s="4">
        <v>11</v>
      </c>
      <c r="G45" s="2">
        <f>SUM(B45:F45)</f>
        <v>75</v>
      </c>
      <c r="H45" s="2">
        <f>AVERAGE(B45:F45)</f>
        <v>15</v>
      </c>
      <c r="J45" s="2" t="s">
        <v>5</v>
      </c>
      <c r="K45" s="5">
        <f>H49</f>
        <v>16.8</v>
      </c>
      <c r="L45" s="5">
        <f>H65</f>
        <v>13.2</v>
      </c>
      <c r="M45" s="5">
        <f>H74</f>
        <v>12.2</v>
      </c>
      <c r="N45" s="5">
        <f t="shared" si="12"/>
        <v>42.2</v>
      </c>
      <c r="O45" s="19">
        <f t="shared" si="13"/>
        <v>14.066666666666668</v>
      </c>
      <c r="Q45" s="12" t="s">
        <v>51</v>
      </c>
      <c r="R45" s="11">
        <f>N44</f>
        <v>37.200000000000003</v>
      </c>
      <c r="S45" s="11">
        <f>N47</f>
        <v>36.599999999999994</v>
      </c>
      <c r="T45" s="11">
        <f>N50</f>
        <v>39</v>
      </c>
      <c r="U45" s="11">
        <f>SUM(R45:T45)</f>
        <v>112.8</v>
      </c>
      <c r="V45" s="12">
        <f>U45/(15*3)</f>
        <v>2.5066666666666668</v>
      </c>
    </row>
    <row r="46" spans="1:27" x14ac:dyDescent="0.35">
      <c r="A46" s="1" t="s">
        <v>2</v>
      </c>
      <c r="B46" s="4">
        <v>18</v>
      </c>
      <c r="C46" s="4">
        <v>19</v>
      </c>
      <c r="D46" s="4">
        <v>16</v>
      </c>
      <c r="E46" s="4">
        <v>15</v>
      </c>
      <c r="F46" s="4">
        <v>17</v>
      </c>
      <c r="G46" s="2">
        <f t="shared" ref="G46:G53" si="14">SUM(B46:F46)</f>
        <v>85</v>
      </c>
      <c r="H46" s="2">
        <f t="shared" ref="H46:H53" si="15">AVERAGE(B46:F46)</f>
        <v>17</v>
      </c>
      <c r="J46" s="2" t="s">
        <v>3</v>
      </c>
      <c r="K46" s="5">
        <f>H47</f>
        <v>15.8</v>
      </c>
      <c r="L46" s="5">
        <f>H62</f>
        <v>9.8000000000000007</v>
      </c>
      <c r="M46" s="5">
        <f>H77</f>
        <v>10.6</v>
      </c>
      <c r="N46" s="5">
        <f t="shared" si="12"/>
        <v>36.200000000000003</v>
      </c>
      <c r="O46" s="19">
        <f t="shared" si="13"/>
        <v>12.066666666666668</v>
      </c>
      <c r="Q46" s="12" t="s">
        <v>52</v>
      </c>
      <c r="R46" s="11">
        <f>N45</f>
        <v>42.2</v>
      </c>
      <c r="S46" s="11">
        <f>N48</f>
        <v>43</v>
      </c>
      <c r="T46" s="11">
        <f>N51</f>
        <v>41.8</v>
      </c>
      <c r="U46" s="11">
        <f>SUM(R46:T46)</f>
        <v>127</v>
      </c>
      <c r="V46" s="12">
        <f>U46/(15*3)</f>
        <v>2.8222222222222224</v>
      </c>
    </row>
    <row r="47" spans="1:27" x14ac:dyDescent="0.35">
      <c r="A47" s="1" t="s">
        <v>3</v>
      </c>
      <c r="B47" s="4">
        <v>16</v>
      </c>
      <c r="C47" s="4">
        <v>16</v>
      </c>
      <c r="D47" s="4">
        <v>15</v>
      </c>
      <c r="E47" s="4">
        <v>16</v>
      </c>
      <c r="F47" s="4">
        <v>16</v>
      </c>
      <c r="G47" s="2">
        <f t="shared" si="14"/>
        <v>79</v>
      </c>
      <c r="H47" s="2">
        <f t="shared" si="15"/>
        <v>15.8</v>
      </c>
      <c r="J47" s="2" t="s">
        <v>7</v>
      </c>
      <c r="K47" s="5">
        <f>H51</f>
        <v>13.4</v>
      </c>
      <c r="L47" s="5">
        <f>H63</f>
        <v>12</v>
      </c>
      <c r="M47" s="5">
        <f>H71</f>
        <v>11.2</v>
      </c>
      <c r="N47" s="5">
        <f t="shared" si="12"/>
        <v>36.599999999999994</v>
      </c>
      <c r="O47" s="19">
        <f t="shared" si="13"/>
        <v>12.199999999999998</v>
      </c>
      <c r="Q47" s="12" t="s">
        <v>29</v>
      </c>
      <c r="R47" s="11">
        <f>SUM(R44:R46)</f>
        <v>115.8</v>
      </c>
      <c r="S47" s="11">
        <f t="shared" ref="S47:U47" si="16">SUM(S44:S46)</f>
        <v>115.8</v>
      </c>
      <c r="T47" s="11">
        <f t="shared" si="16"/>
        <v>118.6</v>
      </c>
      <c r="U47" s="13">
        <f t="shared" si="16"/>
        <v>350.2</v>
      </c>
      <c r="X47" s="12" t="s">
        <v>61</v>
      </c>
      <c r="Y47" s="12" t="s">
        <v>57</v>
      </c>
      <c r="Z47" s="12" t="s">
        <v>62</v>
      </c>
      <c r="AA47" s="12" t="s">
        <v>63</v>
      </c>
    </row>
    <row r="48" spans="1:27" x14ac:dyDescent="0.35">
      <c r="A48" s="1" t="s">
        <v>4</v>
      </c>
      <c r="B48" s="4">
        <v>17</v>
      </c>
      <c r="C48" s="4">
        <v>18</v>
      </c>
      <c r="D48" s="4">
        <v>16</v>
      </c>
      <c r="E48" s="4">
        <v>17</v>
      </c>
      <c r="F48" s="4">
        <v>17</v>
      </c>
      <c r="G48" s="4">
        <f t="shared" si="14"/>
        <v>85</v>
      </c>
      <c r="H48" s="5">
        <f t="shared" si="15"/>
        <v>17</v>
      </c>
      <c r="J48" s="2" t="s">
        <v>4</v>
      </c>
      <c r="K48" s="5">
        <f>H48</f>
        <v>17</v>
      </c>
      <c r="L48" s="5">
        <f>H61</f>
        <v>13.4</v>
      </c>
      <c r="M48" s="5">
        <f>H78</f>
        <v>12.6</v>
      </c>
      <c r="N48" s="5">
        <f t="shared" si="12"/>
        <v>43</v>
      </c>
      <c r="O48" s="19">
        <f t="shared" si="13"/>
        <v>14.333333333333334</v>
      </c>
      <c r="Q48" s="23" t="s">
        <v>56</v>
      </c>
      <c r="R48" s="12">
        <f>R47/(15*3)</f>
        <v>2.5733333333333333</v>
      </c>
      <c r="S48" s="12">
        <f>S47/(15*3)</f>
        <v>2.5733333333333333</v>
      </c>
      <c r="T48" s="12">
        <f>T47/(15*3)</f>
        <v>2.6355555555555554</v>
      </c>
      <c r="X48" s="12" t="s">
        <v>50</v>
      </c>
      <c r="Y48" s="19">
        <f>V44</f>
        <v>2.4533333333333331</v>
      </c>
      <c r="Z48" s="19">
        <f>Y48+Z44</f>
        <v>2.9219799268658457</v>
      </c>
      <c r="AA48" s="12" t="s">
        <v>64</v>
      </c>
    </row>
    <row r="49" spans="1:27" x14ac:dyDescent="0.35">
      <c r="A49" s="1" t="s">
        <v>5</v>
      </c>
      <c r="B49" s="4">
        <v>16</v>
      </c>
      <c r="C49" s="4">
        <v>17</v>
      </c>
      <c r="D49" s="4">
        <v>16</v>
      </c>
      <c r="E49" s="4">
        <v>17</v>
      </c>
      <c r="F49" s="4">
        <v>18</v>
      </c>
      <c r="G49" s="2">
        <f t="shared" si="14"/>
        <v>84</v>
      </c>
      <c r="H49" s="2">
        <f t="shared" si="15"/>
        <v>16.8</v>
      </c>
      <c r="J49" s="2" t="s">
        <v>1</v>
      </c>
      <c r="K49" s="5">
        <f>H45</f>
        <v>15</v>
      </c>
      <c r="L49" s="5">
        <f>H66</f>
        <v>11.4</v>
      </c>
      <c r="M49" s="5">
        <f>H79</f>
        <v>11.4</v>
      </c>
      <c r="N49" s="5">
        <f t="shared" si="12"/>
        <v>37.799999999999997</v>
      </c>
      <c r="O49" s="19">
        <f t="shared" si="13"/>
        <v>12.6</v>
      </c>
      <c r="Q49" s="14" t="s">
        <v>34</v>
      </c>
      <c r="R49" s="24">
        <f>U47^2/27</f>
        <v>4542.2237037037039</v>
      </c>
      <c r="X49" s="12" t="s">
        <v>51</v>
      </c>
      <c r="Y49" s="19">
        <f>V45</f>
        <v>2.5066666666666668</v>
      </c>
      <c r="Z49" s="19"/>
      <c r="AA49" s="12" t="s">
        <v>64</v>
      </c>
    </row>
    <row r="50" spans="1:27" x14ac:dyDescent="0.35">
      <c r="A50" s="1" t="s">
        <v>6</v>
      </c>
      <c r="B50" s="4">
        <v>14</v>
      </c>
      <c r="C50" s="4">
        <v>12</v>
      </c>
      <c r="D50" s="4">
        <v>14</v>
      </c>
      <c r="E50" s="4">
        <v>13</v>
      </c>
      <c r="F50" s="4">
        <v>14</v>
      </c>
      <c r="G50" s="2">
        <f t="shared" si="14"/>
        <v>67</v>
      </c>
      <c r="H50" s="2">
        <f t="shared" si="15"/>
        <v>13.4</v>
      </c>
      <c r="J50" s="2" t="s">
        <v>2</v>
      </c>
      <c r="K50" s="5">
        <f>H46</f>
        <v>17</v>
      </c>
      <c r="L50" s="5">
        <f>H64</f>
        <v>10.6</v>
      </c>
      <c r="M50" s="5">
        <f>H76</f>
        <v>11.4</v>
      </c>
      <c r="N50" s="5">
        <f t="shared" si="12"/>
        <v>39</v>
      </c>
      <c r="O50" s="19">
        <f t="shared" si="13"/>
        <v>13</v>
      </c>
      <c r="Q50" s="15" t="s">
        <v>35</v>
      </c>
      <c r="R50" s="15">
        <f>SQRT(M62)/O53*100</f>
        <v>8.0793810094760463</v>
      </c>
      <c r="X50" s="12" t="s">
        <v>52</v>
      </c>
      <c r="Y50" s="19">
        <f>V46</f>
        <v>2.8222222222222224</v>
      </c>
      <c r="Z50" s="19"/>
      <c r="AA50" s="12" t="s">
        <v>64</v>
      </c>
    </row>
    <row r="51" spans="1:27" x14ac:dyDescent="0.35">
      <c r="A51" s="1" t="s">
        <v>7</v>
      </c>
      <c r="B51" s="4">
        <v>13</v>
      </c>
      <c r="C51" s="4">
        <v>13</v>
      </c>
      <c r="D51" s="4">
        <v>12</v>
      </c>
      <c r="E51" s="4">
        <v>14</v>
      </c>
      <c r="F51" s="4">
        <v>15</v>
      </c>
      <c r="G51" s="4">
        <f t="shared" si="14"/>
        <v>67</v>
      </c>
      <c r="H51" s="5">
        <f t="shared" si="15"/>
        <v>13.4</v>
      </c>
      <c r="J51" s="2" t="s">
        <v>9</v>
      </c>
      <c r="K51" s="5">
        <f>H53</f>
        <v>16</v>
      </c>
      <c r="L51" s="5">
        <f>H59</f>
        <v>14</v>
      </c>
      <c r="M51" s="5">
        <f>H72</f>
        <v>11.8</v>
      </c>
      <c r="N51" s="5">
        <f t="shared" si="12"/>
        <v>41.8</v>
      </c>
      <c r="O51" s="19">
        <f t="shared" si="13"/>
        <v>13.933333333333332</v>
      </c>
    </row>
    <row r="52" spans="1:27" x14ac:dyDescent="0.35">
      <c r="A52" s="1" t="s">
        <v>8</v>
      </c>
      <c r="B52" s="4">
        <v>14</v>
      </c>
      <c r="C52" s="4">
        <v>13</v>
      </c>
      <c r="D52" s="4">
        <v>13</v>
      </c>
      <c r="E52" s="4">
        <v>14</v>
      </c>
      <c r="F52" s="4">
        <v>13</v>
      </c>
      <c r="G52" s="2">
        <f t="shared" si="14"/>
        <v>67</v>
      </c>
      <c r="H52" s="5">
        <f t="shared" si="15"/>
        <v>13.4</v>
      </c>
      <c r="J52" s="2" t="s">
        <v>12</v>
      </c>
      <c r="K52" s="5">
        <f>SUM(K43:K51)</f>
        <v>137.80000000000001</v>
      </c>
      <c r="L52" s="5">
        <f t="shared" ref="L52" si="17">SUM(L43:L51)</f>
        <v>108.4</v>
      </c>
      <c r="M52" s="5">
        <f>SUM(M43:M51)</f>
        <v>104</v>
      </c>
      <c r="N52" s="20">
        <f t="shared" ref="N52" si="18">SUM(N43:N51)</f>
        <v>350.2</v>
      </c>
      <c r="O52" s="19"/>
      <c r="X52" s="12" t="s">
        <v>61</v>
      </c>
      <c r="Y52" s="12" t="s">
        <v>57</v>
      </c>
      <c r="Z52" s="12" t="s">
        <v>63</v>
      </c>
    </row>
    <row r="53" spans="1:27" x14ac:dyDescent="0.35">
      <c r="A53" s="1" t="s">
        <v>9</v>
      </c>
      <c r="B53" s="4">
        <v>16</v>
      </c>
      <c r="C53" s="4">
        <v>18</v>
      </c>
      <c r="D53" s="4">
        <v>15</v>
      </c>
      <c r="E53" s="4">
        <v>15</v>
      </c>
      <c r="F53" s="4">
        <v>16</v>
      </c>
      <c r="G53" s="2">
        <f t="shared" si="14"/>
        <v>80</v>
      </c>
      <c r="H53" s="2">
        <f t="shared" si="15"/>
        <v>16</v>
      </c>
      <c r="J53" s="2" t="s">
        <v>13</v>
      </c>
      <c r="K53" s="19">
        <f>AVERAGE(K43:K51)</f>
        <v>15.311111111111112</v>
      </c>
      <c r="L53" s="19">
        <f t="shared" ref="L53:M53" si="19">AVERAGE(L43:L51)</f>
        <v>12.044444444444444</v>
      </c>
      <c r="M53" s="19">
        <f t="shared" si="19"/>
        <v>11.555555555555555</v>
      </c>
      <c r="N53" s="19"/>
      <c r="O53" s="19">
        <f>AVERAGE(K43:M51)</f>
        <v>12.97037037037037</v>
      </c>
      <c r="X53" s="12" t="s">
        <v>50</v>
      </c>
      <c r="Y53" s="19">
        <f>Y48</f>
        <v>2.4533333333333331</v>
      </c>
      <c r="Z53" s="12" t="s">
        <v>64</v>
      </c>
    </row>
    <row r="54" spans="1:27" x14ac:dyDescent="0.35">
      <c r="J54" s="16"/>
      <c r="X54" s="12" t="s">
        <v>51</v>
      </c>
      <c r="Y54" s="19">
        <f>Y49</f>
        <v>2.5066666666666668</v>
      </c>
      <c r="Z54" s="12" t="s">
        <v>64</v>
      </c>
    </row>
    <row r="55" spans="1:27" x14ac:dyDescent="0.35">
      <c r="A55" s="26" t="s">
        <v>0</v>
      </c>
      <c r="B55" s="27" t="s">
        <v>16</v>
      </c>
      <c r="C55" s="27"/>
      <c r="D55" s="27"/>
      <c r="E55" s="27"/>
      <c r="F55" s="27"/>
      <c r="G55" s="26" t="s">
        <v>12</v>
      </c>
      <c r="H55" s="26" t="s">
        <v>13</v>
      </c>
      <c r="J55" s="17" t="s">
        <v>36</v>
      </c>
      <c r="K55" s="9"/>
      <c r="X55" s="12" t="s">
        <v>52</v>
      </c>
      <c r="Y55" s="19">
        <f>Y50</f>
        <v>2.8222222222222224</v>
      </c>
      <c r="Z55" s="12" t="s">
        <v>64</v>
      </c>
    </row>
    <row r="56" spans="1:27" x14ac:dyDescent="0.35">
      <c r="A56" s="26"/>
      <c r="B56" s="27" t="s">
        <v>11</v>
      </c>
      <c r="C56" s="27"/>
      <c r="D56" s="27"/>
      <c r="E56" s="27"/>
      <c r="F56" s="27"/>
      <c r="G56" s="26"/>
      <c r="H56" s="26"/>
      <c r="J56" s="2" t="s">
        <v>37</v>
      </c>
      <c r="K56" s="2" t="s">
        <v>38</v>
      </c>
      <c r="L56" s="2" t="s">
        <v>39</v>
      </c>
      <c r="M56" s="2" t="s">
        <v>40</v>
      </c>
      <c r="N56" s="2" t="s">
        <v>41</v>
      </c>
      <c r="O56" s="2" t="s">
        <v>42</v>
      </c>
      <c r="P56" s="2" t="s">
        <v>43</v>
      </c>
    </row>
    <row r="57" spans="1:27" x14ac:dyDescent="0.35">
      <c r="A57" s="26"/>
      <c r="B57" s="3">
        <v>1</v>
      </c>
      <c r="C57" s="3">
        <v>2</v>
      </c>
      <c r="D57" s="3">
        <v>3</v>
      </c>
      <c r="E57" s="3">
        <v>4</v>
      </c>
      <c r="F57" s="3">
        <v>5</v>
      </c>
      <c r="G57" s="26"/>
      <c r="H57" s="26"/>
      <c r="J57" s="2" t="s">
        <v>44</v>
      </c>
      <c r="K57" s="6">
        <f>3-1</f>
        <v>2</v>
      </c>
      <c r="L57" s="10">
        <f>SUMSQ(K52:M52)/9-R49</f>
        <v>75.042962962963429</v>
      </c>
      <c r="M57" s="10">
        <f t="shared" ref="M57:M62" si="20">L57/K57</f>
        <v>37.521481481481715</v>
      </c>
      <c r="N57" s="10">
        <f>M57/M62</f>
        <v>34.167959527825055</v>
      </c>
      <c r="O57" s="10">
        <f>FINV(5%,K57,K62)</f>
        <v>3.6337234675916301</v>
      </c>
      <c r="P57" s="2" t="str">
        <f>IF(N57&gt;O57,"*","NS")</f>
        <v>*</v>
      </c>
    </row>
    <row r="58" spans="1:27" x14ac:dyDescent="0.35">
      <c r="A58" s="1" t="s">
        <v>6</v>
      </c>
      <c r="B58" s="4">
        <v>11</v>
      </c>
      <c r="C58" s="4">
        <v>12</v>
      </c>
      <c r="D58" s="4">
        <v>14</v>
      </c>
      <c r="E58" s="4">
        <v>13</v>
      </c>
      <c r="F58" s="4">
        <v>12</v>
      </c>
      <c r="G58" s="2">
        <f>SUM(B58:F58)</f>
        <v>62</v>
      </c>
      <c r="H58" s="2">
        <f>AVERAGE(B58:F58)</f>
        <v>12.4</v>
      </c>
      <c r="J58" s="2" t="s">
        <v>45</v>
      </c>
      <c r="K58" s="2">
        <f>9-1</f>
        <v>8</v>
      </c>
      <c r="L58" s="10">
        <f>SUMSQ(N43:N51)/3-R49</f>
        <v>19.682962962962847</v>
      </c>
      <c r="M58" s="10">
        <f t="shared" si="20"/>
        <v>2.4603703703703559</v>
      </c>
      <c r="N58" s="10">
        <f>M58/M62</f>
        <v>2.2404721753794279</v>
      </c>
      <c r="O58" s="10">
        <f>FINV(5%,K58,K62)</f>
        <v>2.5910961798744014</v>
      </c>
      <c r="P58" s="2" t="str">
        <f>IF(N58&gt;O58,"*","NS")</f>
        <v>NS</v>
      </c>
    </row>
    <row r="59" spans="1:27" x14ac:dyDescent="0.35">
      <c r="A59" s="1" t="s">
        <v>9</v>
      </c>
      <c r="B59" s="4">
        <v>15</v>
      </c>
      <c r="C59" s="4">
        <v>14</v>
      </c>
      <c r="D59" s="4">
        <v>15</v>
      </c>
      <c r="E59" s="4">
        <v>14</v>
      </c>
      <c r="F59" s="4">
        <v>12</v>
      </c>
      <c r="G59" s="2">
        <f t="shared" ref="G59:G66" si="21">SUM(B59:F59)</f>
        <v>70</v>
      </c>
      <c r="H59" s="2">
        <f t="shared" ref="H59:H66" si="22">AVERAGE(B59:F59)</f>
        <v>14</v>
      </c>
      <c r="J59" s="2" t="s">
        <v>46</v>
      </c>
      <c r="K59" s="2">
        <f>3-1</f>
        <v>2</v>
      </c>
      <c r="L59" s="10">
        <f>SUMSQ(R47:T47)/9-R49</f>
        <v>0.58074074074011151</v>
      </c>
      <c r="M59" s="10">
        <f t="shared" si="20"/>
        <v>0.29037037037005575</v>
      </c>
      <c r="N59" s="10">
        <f>M59/M62</f>
        <v>0.26441821247863595</v>
      </c>
      <c r="O59" s="10">
        <f>FINV(5%,K59,K62)</f>
        <v>3.6337234675916301</v>
      </c>
      <c r="P59" s="2" t="str">
        <f>IF(N59&gt;O59,"*","NS")</f>
        <v>NS</v>
      </c>
    </row>
    <row r="60" spans="1:27" x14ac:dyDescent="0.35">
      <c r="A60" s="1" t="s">
        <v>8</v>
      </c>
      <c r="B60" s="4">
        <v>12</v>
      </c>
      <c r="C60" s="4">
        <v>11</v>
      </c>
      <c r="D60" s="4">
        <v>12</v>
      </c>
      <c r="E60" s="4">
        <v>11</v>
      </c>
      <c r="F60" s="4">
        <v>12</v>
      </c>
      <c r="G60" s="2">
        <f t="shared" si="21"/>
        <v>58</v>
      </c>
      <c r="H60" s="2">
        <f t="shared" si="22"/>
        <v>11.6</v>
      </c>
      <c r="J60" s="2" t="s">
        <v>53</v>
      </c>
      <c r="K60" s="2">
        <f>3-1</f>
        <v>2</v>
      </c>
      <c r="L60" s="10">
        <f>SUMSQ(U44:U46)/9-R49</f>
        <v>17.887407407407409</v>
      </c>
      <c r="M60" s="10">
        <f t="shared" si="20"/>
        <v>8.9437037037037044</v>
      </c>
      <c r="N60" s="10">
        <f>M60/M62</f>
        <v>8.1443507588533421</v>
      </c>
      <c r="O60" s="10">
        <f>FINV(5%,K60,K62)</f>
        <v>3.6337234675916301</v>
      </c>
      <c r="P60" s="2" t="str">
        <f>IF(N60&gt;O60,"*","NS")</f>
        <v>*</v>
      </c>
      <c r="R60" s="33" t="s">
        <v>66</v>
      </c>
      <c r="S60" s="33"/>
      <c r="T60" s="33"/>
      <c r="U60" s="33"/>
      <c r="V60" s="33"/>
      <c r="W60" s="33"/>
      <c r="X60" s="33"/>
      <c r="Y60" s="33"/>
    </row>
    <row r="61" spans="1:27" x14ac:dyDescent="0.35">
      <c r="A61" s="1" t="s">
        <v>4</v>
      </c>
      <c r="B61" s="4">
        <v>15</v>
      </c>
      <c r="C61" s="4">
        <v>14</v>
      </c>
      <c r="D61" s="4">
        <v>12</v>
      </c>
      <c r="E61" s="4">
        <v>14</v>
      </c>
      <c r="F61" s="4">
        <v>12</v>
      </c>
      <c r="G61" s="2">
        <f t="shared" si="21"/>
        <v>67</v>
      </c>
      <c r="H61" s="5">
        <f t="shared" si="22"/>
        <v>13.4</v>
      </c>
      <c r="J61" s="2" t="s">
        <v>54</v>
      </c>
      <c r="K61" s="2">
        <f>K59*K60</f>
        <v>4</v>
      </c>
      <c r="L61" s="10">
        <f>L58-L59-L60</f>
        <v>1.2148148148153268</v>
      </c>
      <c r="M61" s="10">
        <f t="shared" si="20"/>
        <v>0.30370370370383171</v>
      </c>
      <c r="N61" s="10">
        <f>M61/M62</f>
        <v>0.27655986509286712</v>
      </c>
      <c r="O61" s="10">
        <f>FINV(5%,K61,K62)</f>
        <v>3.0069172799243447</v>
      </c>
      <c r="P61" s="2" t="str">
        <f>IF(N61&gt;O61,"*","NS")</f>
        <v>NS</v>
      </c>
    </row>
    <row r="62" spans="1:27" x14ac:dyDescent="0.35">
      <c r="A62" s="1" t="s">
        <v>3</v>
      </c>
      <c r="B62" s="4">
        <v>9</v>
      </c>
      <c r="C62" s="4">
        <v>10</v>
      </c>
      <c r="D62" s="4">
        <v>9</v>
      </c>
      <c r="E62" s="4">
        <v>12</v>
      </c>
      <c r="F62" s="4">
        <v>9</v>
      </c>
      <c r="G62" s="2">
        <f t="shared" si="21"/>
        <v>49</v>
      </c>
      <c r="H62" s="2">
        <f t="shared" si="22"/>
        <v>9.8000000000000007</v>
      </c>
      <c r="J62" s="2" t="s">
        <v>47</v>
      </c>
      <c r="K62" s="2">
        <f>K63-K58-K57</f>
        <v>16</v>
      </c>
      <c r="L62" s="10">
        <f>L63-L58-L57</f>
        <v>17.570370370370256</v>
      </c>
      <c r="M62" s="10">
        <f t="shared" si="20"/>
        <v>1.098148148148141</v>
      </c>
      <c r="N62" s="18"/>
      <c r="O62" s="18"/>
      <c r="P62" s="6"/>
      <c r="Q62" s="6"/>
    </row>
    <row r="63" spans="1:27" x14ac:dyDescent="0.35">
      <c r="A63" s="1" t="s">
        <v>7</v>
      </c>
      <c r="B63" s="4">
        <v>11</v>
      </c>
      <c r="C63" s="4">
        <v>14</v>
      </c>
      <c r="D63" s="4">
        <v>13</v>
      </c>
      <c r="E63" s="4">
        <v>11</v>
      </c>
      <c r="F63" s="4">
        <v>11</v>
      </c>
      <c r="G63" s="2">
        <f t="shared" si="21"/>
        <v>60</v>
      </c>
      <c r="H63" s="2">
        <f t="shared" si="22"/>
        <v>12</v>
      </c>
      <c r="J63" s="2" t="s">
        <v>48</v>
      </c>
      <c r="K63" s="2">
        <f>27-1</f>
        <v>26</v>
      </c>
      <c r="L63" s="10">
        <f>SUMSQ(K43:M51)-R49</f>
        <v>112.29629629629653</v>
      </c>
      <c r="M63" s="18"/>
      <c r="N63" s="18"/>
      <c r="O63" s="18"/>
      <c r="P63" s="6"/>
      <c r="Q63" s="6"/>
    </row>
    <row r="64" spans="1:27" x14ac:dyDescent="0.35">
      <c r="A64" s="1" t="s">
        <v>2</v>
      </c>
      <c r="B64" s="4">
        <v>11</v>
      </c>
      <c r="C64" s="4">
        <v>11</v>
      </c>
      <c r="D64" s="4">
        <v>9</v>
      </c>
      <c r="E64" s="4">
        <v>11</v>
      </c>
      <c r="F64" s="4">
        <v>11</v>
      </c>
      <c r="G64" s="2">
        <f t="shared" si="21"/>
        <v>53</v>
      </c>
      <c r="H64" s="5">
        <f t="shared" si="22"/>
        <v>10.6</v>
      </c>
    </row>
    <row r="65" spans="1:8" x14ac:dyDescent="0.35">
      <c r="A65" s="1" t="s">
        <v>5</v>
      </c>
      <c r="B65" s="4">
        <v>12</v>
      </c>
      <c r="C65" s="4">
        <v>12</v>
      </c>
      <c r="D65" s="4">
        <v>15</v>
      </c>
      <c r="E65" s="4">
        <v>13</v>
      </c>
      <c r="F65" s="4">
        <v>14</v>
      </c>
      <c r="G65" s="2">
        <f t="shared" si="21"/>
        <v>66</v>
      </c>
      <c r="H65" s="5">
        <f t="shared" si="22"/>
        <v>13.2</v>
      </c>
    </row>
    <row r="66" spans="1:8" x14ac:dyDescent="0.35">
      <c r="A66" s="1" t="s">
        <v>1</v>
      </c>
      <c r="B66" s="4">
        <v>12</v>
      </c>
      <c r="C66" s="4">
        <v>11</v>
      </c>
      <c r="D66" s="4">
        <v>11</v>
      </c>
      <c r="E66" s="4">
        <v>12</v>
      </c>
      <c r="F66" s="4">
        <v>11</v>
      </c>
      <c r="G66" s="2">
        <f t="shared" si="21"/>
        <v>57</v>
      </c>
      <c r="H66" s="2">
        <f t="shared" si="22"/>
        <v>11.4</v>
      </c>
    </row>
    <row r="68" spans="1:8" x14ac:dyDescent="0.35">
      <c r="A68" s="26" t="s">
        <v>0</v>
      </c>
      <c r="B68" s="27" t="s">
        <v>20</v>
      </c>
      <c r="C68" s="27"/>
      <c r="D68" s="27"/>
      <c r="E68" s="27"/>
      <c r="F68" s="27"/>
      <c r="G68" s="26" t="s">
        <v>12</v>
      </c>
      <c r="H68" s="26" t="s">
        <v>13</v>
      </c>
    </row>
    <row r="69" spans="1:8" x14ac:dyDescent="0.35">
      <c r="A69" s="26"/>
      <c r="B69" s="27" t="s">
        <v>11</v>
      </c>
      <c r="C69" s="27"/>
      <c r="D69" s="27"/>
      <c r="E69" s="27"/>
      <c r="F69" s="27"/>
      <c r="G69" s="26"/>
      <c r="H69" s="26"/>
    </row>
    <row r="70" spans="1:8" x14ac:dyDescent="0.35">
      <c r="A70" s="26"/>
      <c r="B70" s="3">
        <v>1</v>
      </c>
      <c r="C70" s="3">
        <v>2</v>
      </c>
      <c r="D70" s="3">
        <v>3</v>
      </c>
      <c r="E70" s="3">
        <v>4</v>
      </c>
      <c r="F70" s="3">
        <v>5</v>
      </c>
      <c r="G70" s="26"/>
      <c r="H70" s="26"/>
    </row>
    <row r="71" spans="1:8" x14ac:dyDescent="0.35">
      <c r="A71" s="1" t="s">
        <v>7</v>
      </c>
      <c r="B71" s="4">
        <v>11</v>
      </c>
      <c r="C71" s="4">
        <v>11</v>
      </c>
      <c r="D71" s="4">
        <v>11</v>
      </c>
      <c r="E71" s="4">
        <v>11</v>
      </c>
      <c r="F71" s="4">
        <v>12</v>
      </c>
      <c r="G71" s="2">
        <f>SUM(B71:F71)</f>
        <v>56</v>
      </c>
      <c r="H71" s="2">
        <f>AVERAGE(B71:F71)</f>
        <v>11.2</v>
      </c>
    </row>
    <row r="72" spans="1:8" x14ac:dyDescent="0.35">
      <c r="A72" s="1" t="s">
        <v>9</v>
      </c>
      <c r="B72" s="4">
        <v>14</v>
      </c>
      <c r="C72" s="4">
        <v>13</v>
      </c>
      <c r="D72" s="4">
        <v>10</v>
      </c>
      <c r="E72" s="4">
        <v>12</v>
      </c>
      <c r="F72" s="4">
        <v>10</v>
      </c>
      <c r="G72" s="2">
        <f t="shared" ref="G72:G79" si="23">SUM(B72:F72)</f>
        <v>59</v>
      </c>
      <c r="H72" s="2">
        <f t="shared" ref="H72:H79" si="24">AVERAGE(B72:F72)</f>
        <v>11.8</v>
      </c>
    </row>
    <row r="73" spans="1:8" x14ac:dyDescent="0.35">
      <c r="A73" s="1" t="s">
        <v>6</v>
      </c>
      <c r="B73" s="4">
        <v>12</v>
      </c>
      <c r="C73" s="4">
        <v>12</v>
      </c>
      <c r="D73" s="4">
        <v>12</v>
      </c>
      <c r="E73" s="4">
        <v>11</v>
      </c>
      <c r="F73" s="4">
        <v>10</v>
      </c>
      <c r="G73" s="2">
        <f t="shared" si="23"/>
        <v>57</v>
      </c>
      <c r="H73" s="2">
        <f t="shared" si="24"/>
        <v>11.4</v>
      </c>
    </row>
    <row r="74" spans="1:8" x14ac:dyDescent="0.35">
      <c r="A74" s="1" t="s">
        <v>5</v>
      </c>
      <c r="B74" s="4">
        <v>12</v>
      </c>
      <c r="C74" s="4">
        <v>14</v>
      </c>
      <c r="D74" s="4">
        <v>11</v>
      </c>
      <c r="E74" s="4">
        <v>12</v>
      </c>
      <c r="F74" s="4">
        <v>12</v>
      </c>
      <c r="G74" s="2">
        <f t="shared" si="23"/>
        <v>61</v>
      </c>
      <c r="H74" s="5">
        <f t="shared" si="24"/>
        <v>12.2</v>
      </c>
    </row>
    <row r="75" spans="1:8" x14ac:dyDescent="0.35">
      <c r="A75" s="1" t="s">
        <v>8</v>
      </c>
      <c r="B75" s="4">
        <v>11</v>
      </c>
      <c r="C75" s="4">
        <v>12</v>
      </c>
      <c r="D75" s="4">
        <v>11</v>
      </c>
      <c r="E75" s="4">
        <v>12</v>
      </c>
      <c r="F75" s="4">
        <v>11</v>
      </c>
      <c r="G75" s="2">
        <f t="shared" si="23"/>
        <v>57</v>
      </c>
      <c r="H75" s="2">
        <f t="shared" si="24"/>
        <v>11.4</v>
      </c>
    </row>
    <row r="76" spans="1:8" x14ac:dyDescent="0.35">
      <c r="A76" s="1" t="s">
        <v>2</v>
      </c>
      <c r="B76" s="4">
        <v>12</v>
      </c>
      <c r="C76" s="4">
        <v>12</v>
      </c>
      <c r="D76" s="4">
        <v>10</v>
      </c>
      <c r="E76" s="4">
        <v>11</v>
      </c>
      <c r="F76" s="4">
        <v>12</v>
      </c>
      <c r="G76" s="2">
        <f t="shared" si="23"/>
        <v>57</v>
      </c>
      <c r="H76" s="5">
        <f t="shared" si="24"/>
        <v>11.4</v>
      </c>
    </row>
    <row r="77" spans="1:8" x14ac:dyDescent="0.35">
      <c r="A77" s="1" t="s">
        <v>3</v>
      </c>
      <c r="B77" s="4">
        <v>9</v>
      </c>
      <c r="C77" s="4">
        <v>11</v>
      </c>
      <c r="D77" s="4">
        <v>11</v>
      </c>
      <c r="E77" s="4">
        <v>11</v>
      </c>
      <c r="F77" s="4">
        <v>11</v>
      </c>
      <c r="G77" s="2">
        <f t="shared" si="23"/>
        <v>53</v>
      </c>
      <c r="H77" s="5">
        <f t="shared" si="24"/>
        <v>10.6</v>
      </c>
    </row>
    <row r="78" spans="1:8" x14ac:dyDescent="0.35">
      <c r="A78" s="1" t="s">
        <v>4</v>
      </c>
      <c r="B78" s="4">
        <v>14</v>
      </c>
      <c r="C78" s="4">
        <v>13</v>
      </c>
      <c r="D78" s="4">
        <v>14</v>
      </c>
      <c r="E78" s="4">
        <v>12</v>
      </c>
      <c r="F78" s="4">
        <v>10</v>
      </c>
      <c r="G78" s="2">
        <f t="shared" si="23"/>
        <v>63</v>
      </c>
      <c r="H78" s="5">
        <f t="shared" si="24"/>
        <v>12.6</v>
      </c>
    </row>
    <row r="79" spans="1:8" x14ac:dyDescent="0.35">
      <c r="A79" s="1" t="s">
        <v>1</v>
      </c>
      <c r="B79" s="4">
        <v>11</v>
      </c>
      <c r="C79" s="4">
        <v>12</v>
      </c>
      <c r="D79" s="4">
        <v>11</v>
      </c>
      <c r="E79" s="4">
        <v>11</v>
      </c>
      <c r="F79" s="4">
        <v>12</v>
      </c>
      <c r="G79" s="2">
        <f t="shared" si="23"/>
        <v>57</v>
      </c>
      <c r="H79" s="5">
        <f t="shared" si="24"/>
        <v>11.4</v>
      </c>
    </row>
    <row r="81" spans="1:26" x14ac:dyDescent="0.35">
      <c r="A81" s="31" t="s">
        <v>24</v>
      </c>
      <c r="B81" s="31"/>
      <c r="C81" s="31"/>
      <c r="D81" s="31"/>
      <c r="E81" s="31"/>
      <c r="F81" s="31"/>
      <c r="G81" s="31"/>
      <c r="H81" s="31"/>
    </row>
    <row r="82" spans="1:26" x14ac:dyDescent="0.35">
      <c r="A82" s="26" t="s">
        <v>0</v>
      </c>
      <c r="B82" s="27" t="s">
        <v>10</v>
      </c>
      <c r="C82" s="27"/>
      <c r="D82" s="27"/>
      <c r="E82" s="27"/>
      <c r="F82" s="27"/>
      <c r="G82" s="26" t="s">
        <v>12</v>
      </c>
      <c r="H82" s="26" t="s">
        <v>13</v>
      </c>
      <c r="J82" s="2" t="s">
        <v>28</v>
      </c>
      <c r="K82" s="2" t="s">
        <v>10</v>
      </c>
      <c r="L82" s="2" t="s">
        <v>16</v>
      </c>
      <c r="M82" s="2" t="s">
        <v>20</v>
      </c>
      <c r="N82" s="2" t="s">
        <v>29</v>
      </c>
      <c r="O82" s="2" t="s">
        <v>30</v>
      </c>
      <c r="Q82" s="8" t="s">
        <v>31</v>
      </c>
      <c r="R82" s="9"/>
    </row>
    <row r="83" spans="1:26" x14ac:dyDescent="0.35">
      <c r="A83" s="26"/>
      <c r="B83" s="27" t="s">
        <v>11</v>
      </c>
      <c r="C83" s="27"/>
      <c r="D83" s="27"/>
      <c r="E83" s="27"/>
      <c r="F83" s="27"/>
      <c r="G83" s="26"/>
      <c r="H83" s="26"/>
      <c r="J83" s="2" t="s">
        <v>8</v>
      </c>
      <c r="K83" s="5">
        <f>H92</f>
        <v>18.2</v>
      </c>
      <c r="L83" s="5">
        <f>H100</f>
        <v>17.600000000000001</v>
      </c>
      <c r="M83" s="5">
        <f>H115</f>
        <v>15.8</v>
      </c>
      <c r="N83" s="5">
        <f>SUM(K83:M83)</f>
        <v>51.599999999999994</v>
      </c>
      <c r="O83" s="19">
        <f>AVERAGE(K83:M83)</f>
        <v>17.2</v>
      </c>
      <c r="Q83" s="12"/>
      <c r="R83" s="12" t="s">
        <v>32</v>
      </c>
      <c r="S83" s="12" t="s">
        <v>33</v>
      </c>
      <c r="T83" s="12" t="s">
        <v>49</v>
      </c>
      <c r="U83" s="12" t="s">
        <v>29</v>
      </c>
      <c r="V83" s="12" t="s">
        <v>57</v>
      </c>
      <c r="X83" s="12" t="s">
        <v>58</v>
      </c>
      <c r="Y83" s="12" t="s">
        <v>59</v>
      </c>
      <c r="Z83" s="12" t="s">
        <v>60</v>
      </c>
    </row>
    <row r="84" spans="1:26" x14ac:dyDescent="0.35">
      <c r="A84" s="26"/>
      <c r="B84" s="3">
        <v>1</v>
      </c>
      <c r="C84" s="3">
        <v>2</v>
      </c>
      <c r="D84" s="3">
        <v>3</v>
      </c>
      <c r="E84" s="3">
        <v>4</v>
      </c>
      <c r="F84" s="3">
        <v>5</v>
      </c>
      <c r="G84" s="26"/>
      <c r="H84" s="26"/>
      <c r="J84" s="2" t="s">
        <v>6</v>
      </c>
      <c r="K84" s="5">
        <f>H90</f>
        <v>18</v>
      </c>
      <c r="L84" s="5">
        <f>H98</f>
        <v>17</v>
      </c>
      <c r="M84" s="5">
        <f>H113</f>
        <v>17.600000000000001</v>
      </c>
      <c r="N84" s="5">
        <f t="shared" ref="N84:N91" si="25">SUM(K84:M84)</f>
        <v>52.6</v>
      </c>
      <c r="O84" s="19">
        <f t="shared" ref="O84:O91" si="26">AVERAGE(K84:M84)</f>
        <v>17.533333333333335</v>
      </c>
      <c r="Q84" s="12" t="s">
        <v>50</v>
      </c>
      <c r="R84" s="11">
        <f>N83</f>
        <v>51.599999999999994</v>
      </c>
      <c r="S84" s="11">
        <f>N86</f>
        <v>49.400000000000006</v>
      </c>
      <c r="T84" s="11">
        <f>N89</f>
        <v>60.7</v>
      </c>
      <c r="U84" s="11">
        <f>SUM(R84:T84)</f>
        <v>161.69999999999999</v>
      </c>
      <c r="V84" s="12">
        <f>U84/(15*3)</f>
        <v>3.5933333333333333</v>
      </c>
      <c r="X84" s="12">
        <f>SQRT(M102/(15*3))</f>
        <v>0.18432950457033534</v>
      </c>
      <c r="Y84" s="12">
        <v>4.05</v>
      </c>
      <c r="Z84" s="12">
        <f>X84*Y84</f>
        <v>0.74653449350985812</v>
      </c>
    </row>
    <row r="85" spans="1:26" x14ac:dyDescent="0.35">
      <c r="A85" s="1" t="s">
        <v>1</v>
      </c>
      <c r="B85" s="4">
        <v>20</v>
      </c>
      <c r="C85" s="4">
        <v>26</v>
      </c>
      <c r="D85" s="4">
        <v>22</v>
      </c>
      <c r="E85" s="4">
        <v>21</v>
      </c>
      <c r="F85" s="4">
        <v>23</v>
      </c>
      <c r="G85" s="2">
        <f>SUM(B85:F85)</f>
        <v>112</v>
      </c>
      <c r="H85" s="2">
        <f>AVERAGE(B85:F85)</f>
        <v>22.4</v>
      </c>
      <c r="J85" s="2" t="s">
        <v>5</v>
      </c>
      <c r="K85" s="5">
        <f>H89</f>
        <v>19</v>
      </c>
      <c r="L85" s="5">
        <f>H105</f>
        <v>18.8</v>
      </c>
      <c r="M85" s="5">
        <f>H114</f>
        <v>18.2</v>
      </c>
      <c r="N85" s="5">
        <f t="shared" si="25"/>
        <v>56</v>
      </c>
      <c r="O85" s="19">
        <f t="shared" si="26"/>
        <v>18.666666666666668</v>
      </c>
      <c r="Q85" s="12" t="s">
        <v>51</v>
      </c>
      <c r="R85" s="11">
        <f>N84</f>
        <v>52.6</v>
      </c>
      <c r="S85" s="11">
        <f>N87</f>
        <v>50.8</v>
      </c>
      <c r="T85" s="11">
        <f>N90</f>
        <v>50.400000000000006</v>
      </c>
      <c r="U85" s="11">
        <f>SUM(R85:T85)</f>
        <v>153.80000000000001</v>
      </c>
      <c r="V85" s="12">
        <f>U85/(15*3)</f>
        <v>3.4177777777777782</v>
      </c>
    </row>
    <row r="86" spans="1:26" x14ac:dyDescent="0.35">
      <c r="A86" s="1" t="s">
        <v>2</v>
      </c>
      <c r="B86" s="4">
        <v>18</v>
      </c>
      <c r="C86" s="4">
        <v>18</v>
      </c>
      <c r="D86" s="4">
        <v>19</v>
      </c>
      <c r="E86" s="4">
        <v>19</v>
      </c>
      <c r="F86" s="4">
        <v>21</v>
      </c>
      <c r="G86" s="2">
        <f t="shared" ref="G86:G93" si="27">SUM(B86:F86)</f>
        <v>95</v>
      </c>
      <c r="H86" s="2">
        <f t="shared" ref="H86:H93" si="28">AVERAGE(B86:F86)</f>
        <v>19</v>
      </c>
      <c r="J86" s="2" t="s">
        <v>3</v>
      </c>
      <c r="K86" s="5">
        <f>H87</f>
        <v>18.399999999999999</v>
      </c>
      <c r="L86" s="5">
        <f>H102</f>
        <v>16.8</v>
      </c>
      <c r="M86" s="5">
        <f>H117</f>
        <v>14.2</v>
      </c>
      <c r="N86" s="5">
        <f t="shared" si="25"/>
        <v>49.400000000000006</v>
      </c>
      <c r="O86" s="19">
        <f t="shared" si="26"/>
        <v>16.466666666666669</v>
      </c>
      <c r="Q86" s="12" t="s">
        <v>52</v>
      </c>
      <c r="R86" s="11">
        <f>N85</f>
        <v>56</v>
      </c>
      <c r="S86" s="11">
        <f>N88</f>
        <v>55.800000000000004</v>
      </c>
      <c r="T86" s="11">
        <f>N91</f>
        <v>54.4</v>
      </c>
      <c r="U86" s="11">
        <f>SUM(R86:T86)</f>
        <v>166.20000000000002</v>
      </c>
      <c r="V86" s="12">
        <f>U86/(15*3)</f>
        <v>3.6933333333333338</v>
      </c>
    </row>
    <row r="87" spans="1:26" x14ac:dyDescent="0.35">
      <c r="A87" s="1" t="s">
        <v>3</v>
      </c>
      <c r="B87" s="4">
        <v>18</v>
      </c>
      <c r="C87" s="4">
        <v>19</v>
      </c>
      <c r="D87" s="4">
        <v>19</v>
      </c>
      <c r="E87" s="4">
        <v>18</v>
      </c>
      <c r="F87" s="4">
        <v>18</v>
      </c>
      <c r="G87" s="2">
        <f t="shared" si="27"/>
        <v>92</v>
      </c>
      <c r="H87" s="2">
        <f t="shared" si="28"/>
        <v>18.399999999999999</v>
      </c>
      <c r="J87" s="2" t="s">
        <v>7</v>
      </c>
      <c r="K87" s="5">
        <f>H91</f>
        <v>18.600000000000001</v>
      </c>
      <c r="L87" s="5">
        <f>H103</f>
        <v>17.2</v>
      </c>
      <c r="M87" s="5">
        <f>H111</f>
        <v>15</v>
      </c>
      <c r="N87" s="5">
        <f t="shared" si="25"/>
        <v>50.8</v>
      </c>
      <c r="O87" s="19">
        <f t="shared" si="26"/>
        <v>16.933333333333334</v>
      </c>
      <c r="Q87" s="12" t="s">
        <v>29</v>
      </c>
      <c r="R87" s="11">
        <f>SUM(R84:R86)</f>
        <v>160.19999999999999</v>
      </c>
      <c r="S87" s="11">
        <f t="shared" ref="S87:U87" si="29">SUM(S84:S86)</f>
        <v>156</v>
      </c>
      <c r="T87" s="11">
        <f t="shared" si="29"/>
        <v>165.5</v>
      </c>
      <c r="U87" s="13">
        <f t="shared" si="29"/>
        <v>481.70000000000005</v>
      </c>
    </row>
    <row r="88" spans="1:26" x14ac:dyDescent="0.35">
      <c r="A88" s="1" t="s">
        <v>4</v>
      </c>
      <c r="B88" s="4">
        <v>19</v>
      </c>
      <c r="C88" s="4">
        <v>20</v>
      </c>
      <c r="D88" s="4">
        <v>19</v>
      </c>
      <c r="E88" s="4">
        <v>19</v>
      </c>
      <c r="F88" s="4">
        <v>20</v>
      </c>
      <c r="G88" s="4">
        <f t="shared" si="27"/>
        <v>97</v>
      </c>
      <c r="H88" s="5">
        <f t="shared" si="28"/>
        <v>19.399999999999999</v>
      </c>
      <c r="J88" s="2" t="s">
        <v>4</v>
      </c>
      <c r="K88" s="5">
        <f>H88</f>
        <v>19.399999999999999</v>
      </c>
      <c r="L88" s="5">
        <f>H101</f>
        <v>17.8</v>
      </c>
      <c r="M88" s="5">
        <f>H118</f>
        <v>18.600000000000001</v>
      </c>
      <c r="N88" s="5">
        <f t="shared" si="25"/>
        <v>55.800000000000004</v>
      </c>
      <c r="O88" s="19">
        <f t="shared" si="26"/>
        <v>18.600000000000001</v>
      </c>
      <c r="Q88" s="23" t="s">
        <v>56</v>
      </c>
      <c r="R88" s="12">
        <f>R87/(15*3)</f>
        <v>3.5599999999999996</v>
      </c>
      <c r="S88" s="12">
        <f>S87/(15*3)</f>
        <v>3.4666666666666668</v>
      </c>
      <c r="T88" s="12">
        <f>T87/(15*3)</f>
        <v>3.6777777777777776</v>
      </c>
    </row>
    <row r="89" spans="1:26" x14ac:dyDescent="0.35">
      <c r="A89" s="1" t="s">
        <v>5</v>
      </c>
      <c r="B89" s="4">
        <v>20</v>
      </c>
      <c r="C89" s="4">
        <v>19</v>
      </c>
      <c r="D89" s="4">
        <v>18</v>
      </c>
      <c r="E89" s="4">
        <v>20</v>
      </c>
      <c r="F89" s="4">
        <v>18</v>
      </c>
      <c r="G89" s="2">
        <f t="shared" si="27"/>
        <v>95</v>
      </c>
      <c r="H89" s="2">
        <f t="shared" si="28"/>
        <v>19</v>
      </c>
      <c r="J89" s="2" t="s">
        <v>1</v>
      </c>
      <c r="K89" s="5">
        <f>H85</f>
        <v>22.4</v>
      </c>
      <c r="L89" s="5">
        <f>H106</f>
        <v>22.3</v>
      </c>
      <c r="M89" s="5">
        <f>H119</f>
        <v>16</v>
      </c>
      <c r="N89" s="5">
        <f t="shared" si="25"/>
        <v>60.7</v>
      </c>
      <c r="O89" s="19">
        <f t="shared" si="26"/>
        <v>20.233333333333334</v>
      </c>
      <c r="Q89" s="14" t="s">
        <v>34</v>
      </c>
      <c r="R89" s="24">
        <f>U87^2/27</f>
        <v>8593.8848148148172</v>
      </c>
    </row>
    <row r="90" spans="1:26" x14ac:dyDescent="0.35">
      <c r="A90" s="1" t="s">
        <v>6</v>
      </c>
      <c r="B90" s="4">
        <v>19</v>
      </c>
      <c r="C90" s="4">
        <v>15</v>
      </c>
      <c r="D90" s="4">
        <v>17</v>
      </c>
      <c r="E90" s="4">
        <v>20</v>
      </c>
      <c r="F90" s="4">
        <v>19</v>
      </c>
      <c r="G90" s="2">
        <f t="shared" si="27"/>
        <v>90</v>
      </c>
      <c r="H90" s="2">
        <f t="shared" si="28"/>
        <v>18</v>
      </c>
      <c r="J90" s="2" t="s">
        <v>2</v>
      </c>
      <c r="K90" s="5">
        <f>H86</f>
        <v>19</v>
      </c>
      <c r="L90" s="5">
        <f>H104</f>
        <v>16.600000000000001</v>
      </c>
      <c r="M90" s="5">
        <f>H116</f>
        <v>14.8</v>
      </c>
      <c r="N90" s="5">
        <f t="shared" si="25"/>
        <v>50.400000000000006</v>
      </c>
      <c r="O90" s="19">
        <f t="shared" si="26"/>
        <v>16.8</v>
      </c>
      <c r="Q90" s="15" t="s">
        <v>35</v>
      </c>
      <c r="R90" s="15">
        <f>SQRT(M102)/O93*100</f>
        <v>6.9308776210770935</v>
      </c>
    </row>
    <row r="91" spans="1:26" x14ac:dyDescent="0.35">
      <c r="A91" s="1" t="s">
        <v>7</v>
      </c>
      <c r="B91" s="4">
        <v>20</v>
      </c>
      <c r="C91" s="4">
        <v>19</v>
      </c>
      <c r="D91" s="4">
        <v>18</v>
      </c>
      <c r="E91" s="4">
        <v>17</v>
      </c>
      <c r="F91" s="4">
        <v>19</v>
      </c>
      <c r="G91" s="4">
        <f t="shared" si="27"/>
        <v>93</v>
      </c>
      <c r="H91" s="5">
        <f t="shared" si="28"/>
        <v>18.600000000000001</v>
      </c>
      <c r="J91" s="2" t="s">
        <v>9</v>
      </c>
      <c r="K91" s="5">
        <f>H93</f>
        <v>19.2</v>
      </c>
      <c r="L91" s="5">
        <f>H99</f>
        <v>17.8</v>
      </c>
      <c r="M91" s="5">
        <f>H112</f>
        <v>17.399999999999999</v>
      </c>
      <c r="N91" s="5">
        <f t="shared" si="25"/>
        <v>54.4</v>
      </c>
      <c r="O91" s="19">
        <f t="shared" si="26"/>
        <v>18.133333333333333</v>
      </c>
    </row>
    <row r="92" spans="1:26" x14ac:dyDescent="0.35">
      <c r="A92" s="1" t="s">
        <v>8</v>
      </c>
      <c r="B92" s="4">
        <v>20</v>
      </c>
      <c r="C92" s="4">
        <v>17</v>
      </c>
      <c r="D92" s="4">
        <v>19</v>
      </c>
      <c r="E92" s="4">
        <v>18</v>
      </c>
      <c r="F92" s="4">
        <v>17</v>
      </c>
      <c r="G92" s="2">
        <f t="shared" si="27"/>
        <v>91</v>
      </c>
      <c r="H92" s="5">
        <f t="shared" si="28"/>
        <v>18.2</v>
      </c>
      <c r="J92" s="2" t="s">
        <v>12</v>
      </c>
      <c r="K92" s="5">
        <f>SUM(K83:K91)</f>
        <v>172.2</v>
      </c>
      <c r="L92" s="5">
        <f t="shared" ref="L92" si="30">SUM(L83:L91)</f>
        <v>161.9</v>
      </c>
      <c r="M92" s="5">
        <f>SUM(M83:M91)</f>
        <v>147.60000000000002</v>
      </c>
      <c r="N92" s="20">
        <f t="shared" ref="N92" si="31">SUM(N83:N91)</f>
        <v>481.69999999999993</v>
      </c>
      <c r="O92" s="19"/>
    </row>
    <row r="93" spans="1:26" x14ac:dyDescent="0.35">
      <c r="A93" s="1" t="s">
        <v>9</v>
      </c>
      <c r="B93" s="4">
        <v>20</v>
      </c>
      <c r="C93" s="4">
        <v>20</v>
      </c>
      <c r="D93" s="4">
        <v>18</v>
      </c>
      <c r="E93" s="4">
        <v>18</v>
      </c>
      <c r="F93" s="4">
        <v>20</v>
      </c>
      <c r="G93" s="2">
        <f t="shared" si="27"/>
        <v>96</v>
      </c>
      <c r="H93" s="2">
        <f t="shared" si="28"/>
        <v>19.2</v>
      </c>
      <c r="J93" s="2" t="s">
        <v>13</v>
      </c>
      <c r="K93" s="19">
        <f>AVERAGE(K83:K91)</f>
        <v>19.133333333333333</v>
      </c>
      <c r="L93" s="19">
        <f t="shared" ref="L93:M93" si="32">AVERAGE(L83:L91)</f>
        <v>17.988888888888891</v>
      </c>
      <c r="M93" s="19">
        <f t="shared" si="32"/>
        <v>16.400000000000002</v>
      </c>
      <c r="N93" s="19"/>
      <c r="O93" s="19">
        <f>AVERAGE(K83:M91)</f>
        <v>17.840740740740742</v>
      </c>
    </row>
    <row r="94" spans="1:26" x14ac:dyDescent="0.35">
      <c r="J94" s="16"/>
    </row>
    <row r="95" spans="1:26" x14ac:dyDescent="0.35">
      <c r="A95" s="26" t="s">
        <v>0</v>
      </c>
      <c r="B95" s="27" t="s">
        <v>16</v>
      </c>
      <c r="C95" s="27"/>
      <c r="D95" s="27"/>
      <c r="E95" s="27"/>
      <c r="F95" s="27"/>
      <c r="G95" s="26" t="s">
        <v>12</v>
      </c>
      <c r="H95" s="26" t="s">
        <v>13</v>
      </c>
      <c r="J95" s="17" t="s">
        <v>36</v>
      </c>
      <c r="K95" s="9"/>
    </row>
    <row r="96" spans="1:26" x14ac:dyDescent="0.35">
      <c r="A96" s="26"/>
      <c r="B96" s="27" t="s">
        <v>11</v>
      </c>
      <c r="C96" s="27"/>
      <c r="D96" s="27"/>
      <c r="E96" s="27"/>
      <c r="F96" s="27"/>
      <c r="G96" s="26"/>
      <c r="H96" s="26"/>
      <c r="J96" s="2" t="s">
        <v>37</v>
      </c>
      <c r="K96" s="2" t="s">
        <v>38</v>
      </c>
      <c r="L96" s="2" t="s">
        <v>39</v>
      </c>
      <c r="M96" s="2" t="s">
        <v>40</v>
      </c>
      <c r="N96" s="2" t="s">
        <v>41</v>
      </c>
      <c r="O96" s="2" t="s">
        <v>42</v>
      </c>
      <c r="P96" s="2" t="s">
        <v>43</v>
      </c>
    </row>
    <row r="97" spans="1:31" x14ac:dyDescent="0.35">
      <c r="A97" s="26"/>
      <c r="B97" s="3">
        <v>1</v>
      </c>
      <c r="C97" s="3">
        <v>2</v>
      </c>
      <c r="D97" s="3">
        <v>3</v>
      </c>
      <c r="E97" s="3">
        <v>4</v>
      </c>
      <c r="F97" s="3">
        <v>5</v>
      </c>
      <c r="G97" s="26"/>
      <c r="H97" s="26"/>
      <c r="J97" s="2" t="s">
        <v>44</v>
      </c>
      <c r="K97" s="6">
        <f>3-1</f>
        <v>2</v>
      </c>
      <c r="L97" s="10">
        <f>SUMSQ(K92:M92)/9-R89</f>
        <v>33.916296296294604</v>
      </c>
      <c r="M97" s="10">
        <f t="shared" ref="M97:M102" si="33">L97/K97</f>
        <v>16.958148148147302</v>
      </c>
      <c r="N97" s="10">
        <f>M97/M102</f>
        <v>11.091140313691284</v>
      </c>
      <c r="O97" s="10">
        <f>FINV(5%,K97,K102)</f>
        <v>3.6337234675916301</v>
      </c>
      <c r="P97" s="2" t="str">
        <f>IF(N97&gt;O97,"*","NS")</f>
        <v>*</v>
      </c>
      <c r="R97" t="s">
        <v>69</v>
      </c>
      <c r="W97" t="s">
        <v>70</v>
      </c>
      <c r="AB97" t="s">
        <v>71</v>
      </c>
    </row>
    <row r="98" spans="1:31" x14ac:dyDescent="0.35">
      <c r="A98" s="1" t="s">
        <v>6</v>
      </c>
      <c r="B98" s="4">
        <v>17</v>
      </c>
      <c r="C98" s="4">
        <v>18</v>
      </c>
      <c r="D98" s="4">
        <v>17</v>
      </c>
      <c r="E98" s="4">
        <v>18</v>
      </c>
      <c r="F98" s="4">
        <v>15</v>
      </c>
      <c r="G98" s="2">
        <f>SUM(B98:F98)</f>
        <v>85</v>
      </c>
      <c r="H98" s="2">
        <f>AVERAGE(B98:F98)</f>
        <v>17</v>
      </c>
      <c r="J98" s="2" t="s">
        <v>45</v>
      </c>
      <c r="K98" s="2">
        <f>9-1</f>
        <v>8</v>
      </c>
      <c r="L98" s="10">
        <f>SUMSQ(N83:N91)/3-R89</f>
        <v>34.105185185182563</v>
      </c>
      <c r="M98" s="10">
        <f t="shared" si="33"/>
        <v>4.2631481481478204</v>
      </c>
      <c r="N98" s="10">
        <f>M98/M102</f>
        <v>2.7882274571546528</v>
      </c>
      <c r="O98" s="10">
        <f>FINV(5%,K98,K102)</f>
        <v>2.5910961798744014</v>
      </c>
      <c r="P98" s="2" t="str">
        <f>IF(N98&gt;O98,"*","NS")</f>
        <v>*</v>
      </c>
      <c r="R98" s="12" t="s">
        <v>68</v>
      </c>
      <c r="S98" s="12" t="s">
        <v>55</v>
      </c>
      <c r="T98" s="12" t="s">
        <v>62</v>
      </c>
      <c r="U98" s="12" t="s">
        <v>63</v>
      </c>
      <c r="W98" s="12" t="s">
        <v>68</v>
      </c>
      <c r="X98" s="12" t="s">
        <v>55</v>
      </c>
      <c r="Y98" s="12" t="s">
        <v>62</v>
      </c>
      <c r="Z98" s="12" t="s">
        <v>63</v>
      </c>
      <c r="AB98" s="12" t="s">
        <v>68</v>
      </c>
      <c r="AC98" s="12" t="s">
        <v>55</v>
      </c>
      <c r="AD98" s="12" t="s">
        <v>62</v>
      </c>
      <c r="AE98" s="12" t="s">
        <v>63</v>
      </c>
    </row>
    <row r="99" spans="1:31" x14ac:dyDescent="0.35">
      <c r="A99" s="1" t="s">
        <v>9</v>
      </c>
      <c r="B99" s="4">
        <v>18</v>
      </c>
      <c r="C99" s="4">
        <v>19</v>
      </c>
      <c r="D99" s="4">
        <v>17</v>
      </c>
      <c r="E99" s="4">
        <v>18</v>
      </c>
      <c r="F99" s="4">
        <v>17</v>
      </c>
      <c r="G99" s="2">
        <f t="shared" ref="G99:G106" si="34">SUM(B99:F99)</f>
        <v>89</v>
      </c>
      <c r="H99" s="2">
        <f t="shared" ref="H99:H106" si="35">AVERAGE(B99:F99)</f>
        <v>17.8</v>
      </c>
      <c r="J99" s="2" t="s">
        <v>46</v>
      </c>
      <c r="K99" s="2">
        <f>3-1</f>
        <v>2</v>
      </c>
      <c r="L99" s="10">
        <f>SUMSQ(R87:T87)/9-R89</f>
        <v>5.0362962962935853</v>
      </c>
      <c r="M99" s="10">
        <f t="shared" si="33"/>
        <v>2.5181481481467927</v>
      </c>
      <c r="N99" s="10">
        <f>M99/M102</f>
        <v>1.6469448313440542</v>
      </c>
      <c r="O99" s="10">
        <f>FINV(5%,K99,K102)</f>
        <v>3.6337234675916301</v>
      </c>
      <c r="P99" s="2" t="str">
        <f>IF(N99&gt;O99,"*","NS")</f>
        <v>NS</v>
      </c>
      <c r="R99" s="12" t="s">
        <v>50</v>
      </c>
      <c r="S99" s="19">
        <v>17.2</v>
      </c>
      <c r="T99" s="19">
        <f>S99+Z84</f>
        <v>17.946534493509859</v>
      </c>
      <c r="U99" s="12" t="s">
        <v>64</v>
      </c>
      <c r="W99" s="12" t="s">
        <v>50</v>
      </c>
      <c r="X99" s="19">
        <v>16.466666666666669</v>
      </c>
      <c r="Y99" s="19">
        <f>X99+Z84</f>
        <v>17.213201160176528</v>
      </c>
      <c r="Z99" s="12" t="s">
        <v>64</v>
      </c>
      <c r="AB99" s="12" t="s">
        <v>51</v>
      </c>
      <c r="AC99" s="19">
        <v>16.8</v>
      </c>
      <c r="AD99" s="19">
        <f>AC99+Z84</f>
        <v>17.54653449350986</v>
      </c>
      <c r="AE99" s="12" t="s">
        <v>64</v>
      </c>
    </row>
    <row r="100" spans="1:31" x14ac:dyDescent="0.35">
      <c r="A100" s="1" t="s">
        <v>8</v>
      </c>
      <c r="B100" s="4">
        <v>17</v>
      </c>
      <c r="C100" s="4">
        <v>15</v>
      </c>
      <c r="D100" s="4">
        <v>19</v>
      </c>
      <c r="E100" s="4">
        <v>20</v>
      </c>
      <c r="F100" s="4">
        <v>17</v>
      </c>
      <c r="G100" s="2">
        <f t="shared" si="34"/>
        <v>88</v>
      </c>
      <c r="H100" s="2">
        <f t="shared" si="35"/>
        <v>17.600000000000001</v>
      </c>
      <c r="J100" s="2" t="s">
        <v>53</v>
      </c>
      <c r="K100" s="2">
        <f>3-1</f>
        <v>2</v>
      </c>
      <c r="L100" s="10">
        <f>SUMSQ(U84:U86)/9-R89</f>
        <v>8.7562962962947495</v>
      </c>
      <c r="M100" s="10">
        <f t="shared" si="33"/>
        <v>4.3781481481473747</v>
      </c>
      <c r="N100" s="10">
        <f>M100/M102</f>
        <v>2.8634409253309467</v>
      </c>
      <c r="O100" s="10">
        <f>FINV(5%,K100,K102)</f>
        <v>3.6337234675916301</v>
      </c>
      <c r="P100" s="2" t="str">
        <f>IF(N100&gt;O100,"*","NS")</f>
        <v>NS</v>
      </c>
      <c r="R100" s="12" t="s">
        <v>51</v>
      </c>
      <c r="S100" s="19">
        <v>17.533333333333335</v>
      </c>
      <c r="T100" s="12"/>
      <c r="U100" s="12" t="s">
        <v>64</v>
      </c>
      <c r="W100" s="12" t="s">
        <v>51</v>
      </c>
      <c r="X100" s="19">
        <v>16.933333333333334</v>
      </c>
      <c r="Y100" s="12"/>
      <c r="Z100" s="12" t="s">
        <v>64</v>
      </c>
      <c r="AB100" s="12" t="s">
        <v>52</v>
      </c>
      <c r="AC100" s="19">
        <v>18.133333333333333</v>
      </c>
      <c r="AD100" s="19">
        <f>AC100+Z84</f>
        <v>18.879867826843192</v>
      </c>
      <c r="AE100" s="12" t="s">
        <v>65</v>
      </c>
    </row>
    <row r="101" spans="1:31" x14ac:dyDescent="0.35">
      <c r="A101" s="1" t="s">
        <v>4</v>
      </c>
      <c r="B101" s="4">
        <v>18</v>
      </c>
      <c r="C101" s="4">
        <v>18</v>
      </c>
      <c r="D101" s="4">
        <v>17</v>
      </c>
      <c r="E101" s="4">
        <v>16</v>
      </c>
      <c r="F101" s="4">
        <v>20</v>
      </c>
      <c r="G101" s="2">
        <f t="shared" si="34"/>
        <v>89</v>
      </c>
      <c r="H101" s="5">
        <f t="shared" si="35"/>
        <v>17.8</v>
      </c>
      <c r="J101" s="2" t="s">
        <v>54</v>
      </c>
      <c r="K101" s="2">
        <f>K99*K100</f>
        <v>4</v>
      </c>
      <c r="L101" s="10">
        <f>L98-L99-L100</f>
        <v>20.312592592594228</v>
      </c>
      <c r="M101" s="10">
        <f t="shared" si="33"/>
        <v>5.0781481481485571</v>
      </c>
      <c r="N101" s="10">
        <f>M101/M102</f>
        <v>3.321262035971805</v>
      </c>
      <c r="O101" s="10">
        <f>FINV(5%,K101,K102)</f>
        <v>3.0069172799243447</v>
      </c>
      <c r="P101" s="2" t="str">
        <f>IF(N101&gt;O101,"*","NS")</f>
        <v>*</v>
      </c>
      <c r="R101" s="12" t="s">
        <v>52</v>
      </c>
      <c r="S101" s="19">
        <v>18.666666666666668</v>
      </c>
      <c r="T101" s="12"/>
      <c r="U101" s="12" t="s">
        <v>65</v>
      </c>
      <c r="W101" s="12" t="s">
        <v>52</v>
      </c>
      <c r="X101" s="19">
        <v>18.600000000000001</v>
      </c>
      <c r="Y101" s="12"/>
      <c r="Z101" s="12" t="s">
        <v>65</v>
      </c>
      <c r="AB101" s="12" t="s">
        <v>50</v>
      </c>
      <c r="AC101" s="19">
        <v>20.233333333333334</v>
      </c>
      <c r="AD101" s="19"/>
      <c r="AE101" s="12" t="s">
        <v>72</v>
      </c>
    </row>
    <row r="102" spans="1:31" x14ac:dyDescent="0.35">
      <c r="A102" s="1" t="s">
        <v>3</v>
      </c>
      <c r="B102" s="4">
        <v>18</v>
      </c>
      <c r="C102" s="4">
        <v>15</v>
      </c>
      <c r="D102" s="4">
        <v>18</v>
      </c>
      <c r="E102" s="4">
        <v>15</v>
      </c>
      <c r="F102" s="4">
        <v>18</v>
      </c>
      <c r="G102" s="2">
        <f t="shared" si="34"/>
        <v>84</v>
      </c>
      <c r="H102" s="2">
        <f t="shared" si="35"/>
        <v>16.8</v>
      </c>
      <c r="J102" s="2" t="s">
        <v>47</v>
      </c>
      <c r="K102" s="2">
        <f>K103-K98-K97</f>
        <v>16</v>
      </c>
      <c r="L102" s="10">
        <f>L103-L98-L97</f>
        <v>24.463703703704596</v>
      </c>
      <c r="M102" s="10">
        <f t="shared" si="33"/>
        <v>1.5289814814815372</v>
      </c>
      <c r="N102" s="18"/>
      <c r="O102" s="18"/>
      <c r="P102" s="6"/>
      <c r="Q102" s="6"/>
    </row>
    <row r="103" spans="1:31" x14ac:dyDescent="0.35">
      <c r="A103" s="1" t="s">
        <v>7</v>
      </c>
      <c r="B103" s="4">
        <v>15</v>
      </c>
      <c r="C103" s="4">
        <v>19</v>
      </c>
      <c r="D103" s="4">
        <v>16</v>
      </c>
      <c r="E103" s="4">
        <v>19</v>
      </c>
      <c r="F103" s="4">
        <v>17</v>
      </c>
      <c r="G103" s="2">
        <f t="shared" si="34"/>
        <v>86</v>
      </c>
      <c r="H103" s="2">
        <f t="shared" si="35"/>
        <v>17.2</v>
      </c>
      <c r="J103" s="2" t="s">
        <v>48</v>
      </c>
      <c r="K103" s="2">
        <f>27-1</f>
        <v>26</v>
      </c>
      <c r="L103" s="10">
        <f>SUMSQ(K83:M91)-R89</f>
        <v>92.485185185181763</v>
      </c>
      <c r="M103" s="18"/>
      <c r="N103" s="18"/>
      <c r="O103" s="18"/>
      <c r="P103" s="6"/>
      <c r="Q103" s="6"/>
      <c r="R103" s="12" t="s">
        <v>68</v>
      </c>
      <c r="S103" s="12" t="s">
        <v>55</v>
      </c>
      <c r="T103" s="12" t="s">
        <v>63</v>
      </c>
      <c r="W103" s="12" t="s">
        <v>68</v>
      </c>
      <c r="X103" s="12" t="s">
        <v>55</v>
      </c>
      <c r="Y103" s="12" t="s">
        <v>63</v>
      </c>
      <c r="AB103" s="12" t="s">
        <v>68</v>
      </c>
      <c r="AC103" s="12" t="s">
        <v>55</v>
      </c>
      <c r="AD103" s="12" t="s">
        <v>63</v>
      </c>
    </row>
    <row r="104" spans="1:31" x14ac:dyDescent="0.35">
      <c r="A104" s="1" t="s">
        <v>2</v>
      </c>
      <c r="B104" s="4">
        <v>16</v>
      </c>
      <c r="C104" s="4">
        <v>17</v>
      </c>
      <c r="D104" s="4">
        <v>15</v>
      </c>
      <c r="E104" s="4">
        <v>18</v>
      </c>
      <c r="F104" s="4">
        <v>17</v>
      </c>
      <c r="G104" s="2">
        <f t="shared" si="34"/>
        <v>83</v>
      </c>
      <c r="H104" s="5">
        <f t="shared" si="35"/>
        <v>16.600000000000001</v>
      </c>
      <c r="R104" s="12" t="s">
        <v>50</v>
      </c>
      <c r="S104" s="19">
        <v>17.2</v>
      </c>
      <c r="T104" s="12" t="s">
        <v>64</v>
      </c>
      <c r="W104" s="12" t="s">
        <v>50</v>
      </c>
      <c r="X104" s="19">
        <v>16.466666666666669</v>
      </c>
      <c r="Y104" s="12" t="s">
        <v>64</v>
      </c>
      <c r="AB104" s="12" t="s">
        <v>50</v>
      </c>
      <c r="AC104" s="19">
        <v>20.233333333333334</v>
      </c>
      <c r="AD104" s="12" t="s">
        <v>72</v>
      </c>
    </row>
    <row r="105" spans="1:31" x14ac:dyDescent="0.35">
      <c r="A105" s="1" t="s">
        <v>5</v>
      </c>
      <c r="B105" s="4">
        <v>20</v>
      </c>
      <c r="C105" s="4">
        <v>15</v>
      </c>
      <c r="D105" s="4">
        <v>20</v>
      </c>
      <c r="E105" s="4">
        <v>18</v>
      </c>
      <c r="F105" s="4">
        <v>21</v>
      </c>
      <c r="G105" s="2">
        <f t="shared" si="34"/>
        <v>94</v>
      </c>
      <c r="H105" s="5">
        <f t="shared" si="35"/>
        <v>18.8</v>
      </c>
      <c r="R105" s="12" t="s">
        <v>51</v>
      </c>
      <c r="S105" s="19">
        <v>17.533333333333335</v>
      </c>
      <c r="T105" s="12" t="s">
        <v>64</v>
      </c>
      <c r="W105" s="12" t="s">
        <v>51</v>
      </c>
      <c r="X105" s="19">
        <v>16.933333333333334</v>
      </c>
      <c r="Y105" s="12" t="s">
        <v>64</v>
      </c>
      <c r="AB105" s="12" t="s">
        <v>51</v>
      </c>
      <c r="AC105" s="19">
        <v>16.8</v>
      </c>
      <c r="AD105" s="12" t="s">
        <v>64</v>
      </c>
    </row>
    <row r="106" spans="1:31" x14ac:dyDescent="0.35">
      <c r="A106" s="1" t="s">
        <v>1</v>
      </c>
      <c r="B106" s="4">
        <v>36.5</v>
      </c>
      <c r="C106" s="4">
        <v>19</v>
      </c>
      <c r="D106" s="4">
        <v>20</v>
      </c>
      <c r="E106" s="4">
        <v>17</v>
      </c>
      <c r="F106" s="4">
        <v>19</v>
      </c>
      <c r="G106" s="2">
        <f t="shared" si="34"/>
        <v>111.5</v>
      </c>
      <c r="H106" s="2">
        <f t="shared" si="35"/>
        <v>22.3</v>
      </c>
      <c r="J106" s="33" t="s">
        <v>76</v>
      </c>
      <c r="K106" s="33"/>
      <c r="L106" s="33"/>
      <c r="M106" s="33"/>
      <c r="N106" s="33"/>
      <c r="O106" s="33"/>
      <c r="P106" s="33"/>
      <c r="R106" s="12" t="s">
        <v>52</v>
      </c>
      <c r="S106" s="19">
        <v>18.666666666666668</v>
      </c>
      <c r="T106" s="12" t="s">
        <v>65</v>
      </c>
      <c r="W106" s="12" t="s">
        <v>52</v>
      </c>
      <c r="X106" s="19">
        <v>18.600000000000001</v>
      </c>
      <c r="Y106" s="12" t="s">
        <v>65</v>
      </c>
      <c r="AB106" s="12" t="s">
        <v>52</v>
      </c>
      <c r="AC106" s="19">
        <v>18.133333333333333</v>
      </c>
      <c r="AD106" s="12" t="s">
        <v>65</v>
      </c>
    </row>
    <row r="107" spans="1:31" x14ac:dyDescent="0.35">
      <c r="J107" s="33" t="s">
        <v>77</v>
      </c>
      <c r="K107" s="33"/>
      <c r="L107" s="33"/>
      <c r="M107" s="33"/>
      <c r="N107" s="33"/>
      <c r="O107" s="33"/>
      <c r="P107" s="33"/>
    </row>
    <row r="108" spans="1:31" x14ac:dyDescent="0.35">
      <c r="A108" s="26" t="s">
        <v>0</v>
      </c>
      <c r="B108" s="27" t="s">
        <v>20</v>
      </c>
      <c r="C108" s="27"/>
      <c r="D108" s="27"/>
      <c r="E108" s="27"/>
      <c r="F108" s="27"/>
      <c r="G108" s="26" t="s">
        <v>12</v>
      </c>
      <c r="H108" s="26" t="s">
        <v>13</v>
      </c>
      <c r="R108" t="s">
        <v>73</v>
      </c>
      <c r="W108" t="s">
        <v>74</v>
      </c>
      <c r="AB108" t="s">
        <v>75</v>
      </c>
    </row>
    <row r="109" spans="1:31" x14ac:dyDescent="0.35">
      <c r="A109" s="26"/>
      <c r="B109" s="27" t="s">
        <v>11</v>
      </c>
      <c r="C109" s="27"/>
      <c r="D109" s="27"/>
      <c r="E109" s="27"/>
      <c r="F109" s="27"/>
      <c r="G109" s="26"/>
      <c r="H109" s="26"/>
      <c r="R109" s="12" t="s">
        <v>67</v>
      </c>
      <c r="S109" s="12" t="s">
        <v>55</v>
      </c>
      <c r="T109" s="12" t="s">
        <v>62</v>
      </c>
      <c r="U109" s="12" t="s">
        <v>63</v>
      </c>
      <c r="W109" s="12" t="s">
        <v>67</v>
      </c>
      <c r="X109" s="12" t="s">
        <v>55</v>
      </c>
      <c r="Y109" s="12" t="s">
        <v>62</v>
      </c>
      <c r="Z109" s="12" t="s">
        <v>63</v>
      </c>
      <c r="AB109" s="12" t="s">
        <v>67</v>
      </c>
      <c r="AC109" s="12" t="s">
        <v>55</v>
      </c>
      <c r="AD109" s="12" t="s">
        <v>62</v>
      </c>
      <c r="AE109" s="12" t="s">
        <v>63</v>
      </c>
    </row>
    <row r="110" spans="1:31" x14ac:dyDescent="0.35">
      <c r="A110" s="26"/>
      <c r="B110" s="3">
        <v>1</v>
      </c>
      <c r="C110" s="3">
        <v>2</v>
      </c>
      <c r="D110" s="3">
        <v>3</v>
      </c>
      <c r="E110" s="3">
        <v>4</v>
      </c>
      <c r="F110" s="3">
        <v>5</v>
      </c>
      <c r="G110" s="26"/>
      <c r="H110" s="26"/>
      <c r="R110" s="12" t="s">
        <v>33</v>
      </c>
      <c r="S110" s="19">
        <v>16.466666666666669</v>
      </c>
      <c r="T110" s="19">
        <f>S110+Z84</f>
        <v>17.213201160176528</v>
      </c>
      <c r="U110" s="12" t="s">
        <v>64</v>
      </c>
      <c r="W110" s="12" t="s">
        <v>49</v>
      </c>
      <c r="X110" s="19">
        <v>16.8</v>
      </c>
      <c r="Y110" s="19">
        <f>X110+Z84</f>
        <v>17.54653449350986</v>
      </c>
      <c r="Z110" s="12" t="s">
        <v>64</v>
      </c>
      <c r="AB110" s="12" t="s">
        <v>49</v>
      </c>
      <c r="AC110" s="19">
        <v>18.133333333333333</v>
      </c>
      <c r="AD110" s="19">
        <f>AC110+Z84</f>
        <v>18.879867826843192</v>
      </c>
      <c r="AE110" s="12" t="s">
        <v>64</v>
      </c>
    </row>
    <row r="111" spans="1:31" x14ac:dyDescent="0.35">
      <c r="A111" s="1" t="s">
        <v>7</v>
      </c>
      <c r="B111" s="4">
        <v>15</v>
      </c>
      <c r="C111" s="4">
        <v>18</v>
      </c>
      <c r="D111" s="4">
        <v>12</v>
      </c>
      <c r="E111" s="4">
        <v>13</v>
      </c>
      <c r="F111" s="4">
        <v>17</v>
      </c>
      <c r="G111" s="2">
        <f>SUM(B111:F111)</f>
        <v>75</v>
      </c>
      <c r="H111" s="2">
        <f>AVERAGE(B111:F111)</f>
        <v>15</v>
      </c>
      <c r="R111" s="12" t="s">
        <v>32</v>
      </c>
      <c r="S111" s="19">
        <v>17.2</v>
      </c>
      <c r="T111" s="19"/>
      <c r="U111" s="12" t="s">
        <v>64</v>
      </c>
      <c r="W111" s="12" t="s">
        <v>33</v>
      </c>
      <c r="X111" s="19">
        <v>16.933333333333334</v>
      </c>
      <c r="Y111" s="19"/>
      <c r="Z111" s="12" t="s">
        <v>64</v>
      </c>
      <c r="AB111" s="12" t="s">
        <v>33</v>
      </c>
      <c r="AC111" s="19">
        <v>18.600000000000001</v>
      </c>
      <c r="AD111" s="19"/>
      <c r="AE111" s="12" t="s">
        <v>64</v>
      </c>
    </row>
    <row r="112" spans="1:31" x14ac:dyDescent="0.35">
      <c r="A112" s="1" t="s">
        <v>9</v>
      </c>
      <c r="B112" s="4">
        <v>17</v>
      </c>
      <c r="C112" s="4">
        <v>16</v>
      </c>
      <c r="D112" s="4">
        <v>15</v>
      </c>
      <c r="E112" s="4">
        <v>20</v>
      </c>
      <c r="F112" s="4">
        <v>19</v>
      </c>
      <c r="G112" s="2">
        <f t="shared" ref="G112:G119" si="36">SUM(B112:F112)</f>
        <v>87</v>
      </c>
      <c r="H112" s="2">
        <f t="shared" ref="H112:H119" si="37">AVERAGE(B112:F112)</f>
        <v>17.399999999999999</v>
      </c>
      <c r="R112" s="12" t="s">
        <v>49</v>
      </c>
      <c r="S112" s="19">
        <v>20.233333333333334</v>
      </c>
      <c r="T112" s="12"/>
      <c r="U112" s="12" t="s">
        <v>65</v>
      </c>
      <c r="W112" s="12" t="s">
        <v>32</v>
      </c>
      <c r="X112" s="19">
        <v>17.533333333333335</v>
      </c>
      <c r="Y112" s="19"/>
      <c r="Z112" s="12" t="s">
        <v>64</v>
      </c>
      <c r="AB112" s="12" t="s">
        <v>32</v>
      </c>
      <c r="AC112" s="19">
        <v>18.666666666666668</v>
      </c>
      <c r="AD112" s="19"/>
      <c r="AE112" s="12" t="s">
        <v>64</v>
      </c>
    </row>
    <row r="113" spans="1:30" x14ac:dyDescent="0.35">
      <c r="A113" s="1" t="s">
        <v>6</v>
      </c>
      <c r="B113" s="4">
        <v>19</v>
      </c>
      <c r="C113" s="4">
        <v>19</v>
      </c>
      <c r="D113" s="4">
        <v>16</v>
      </c>
      <c r="E113" s="4">
        <v>18</v>
      </c>
      <c r="F113" s="4">
        <v>16</v>
      </c>
      <c r="G113" s="2">
        <f t="shared" si="36"/>
        <v>88</v>
      </c>
      <c r="H113" s="2">
        <f t="shared" si="37"/>
        <v>17.600000000000001</v>
      </c>
    </row>
    <row r="114" spans="1:30" x14ac:dyDescent="0.35">
      <c r="A114" s="1" t="s">
        <v>5</v>
      </c>
      <c r="B114" s="4">
        <v>18</v>
      </c>
      <c r="C114" s="4">
        <v>20</v>
      </c>
      <c r="D114" s="4">
        <v>16</v>
      </c>
      <c r="E114" s="4">
        <v>19</v>
      </c>
      <c r="F114" s="4">
        <v>18</v>
      </c>
      <c r="G114" s="2">
        <f t="shared" si="36"/>
        <v>91</v>
      </c>
      <c r="H114" s="5">
        <f t="shared" si="37"/>
        <v>18.2</v>
      </c>
      <c r="R114" s="12" t="s">
        <v>67</v>
      </c>
      <c r="S114" s="12" t="s">
        <v>55</v>
      </c>
      <c r="T114" s="12" t="s">
        <v>63</v>
      </c>
      <c r="W114" s="12" t="s">
        <v>67</v>
      </c>
      <c r="X114" s="12" t="s">
        <v>55</v>
      </c>
      <c r="Y114" s="12" t="s">
        <v>63</v>
      </c>
      <c r="AB114" s="12" t="s">
        <v>67</v>
      </c>
      <c r="AC114" s="12" t="s">
        <v>55</v>
      </c>
      <c r="AD114" s="12" t="s">
        <v>63</v>
      </c>
    </row>
    <row r="115" spans="1:30" x14ac:dyDescent="0.35">
      <c r="A115" s="1" t="s">
        <v>8</v>
      </c>
      <c r="B115" s="4">
        <v>17</v>
      </c>
      <c r="C115" s="4">
        <v>15</v>
      </c>
      <c r="D115" s="4">
        <v>18</v>
      </c>
      <c r="E115" s="4">
        <v>15</v>
      </c>
      <c r="F115" s="4">
        <v>14</v>
      </c>
      <c r="G115" s="2">
        <f t="shared" si="36"/>
        <v>79</v>
      </c>
      <c r="H115" s="2">
        <f t="shared" si="37"/>
        <v>15.8</v>
      </c>
      <c r="R115" s="12" t="s">
        <v>32</v>
      </c>
      <c r="S115" s="19">
        <v>17.2</v>
      </c>
      <c r="T115" s="12" t="s">
        <v>64</v>
      </c>
      <c r="W115" s="12" t="s">
        <v>32</v>
      </c>
      <c r="X115" s="19">
        <v>17.533333333333335</v>
      </c>
      <c r="Y115" s="12" t="s">
        <v>64</v>
      </c>
      <c r="AB115" s="12" t="s">
        <v>32</v>
      </c>
      <c r="AC115" s="19">
        <v>18.666666666666668</v>
      </c>
      <c r="AD115" s="12" t="s">
        <v>64</v>
      </c>
    </row>
    <row r="116" spans="1:30" x14ac:dyDescent="0.35">
      <c r="A116" s="1" t="s">
        <v>2</v>
      </c>
      <c r="B116" s="4">
        <v>15</v>
      </c>
      <c r="C116" s="4">
        <v>18</v>
      </c>
      <c r="D116" s="4">
        <v>12</v>
      </c>
      <c r="E116" s="4">
        <v>14</v>
      </c>
      <c r="F116" s="4">
        <v>15</v>
      </c>
      <c r="G116" s="2">
        <f t="shared" si="36"/>
        <v>74</v>
      </c>
      <c r="H116" s="5">
        <f t="shared" si="37"/>
        <v>14.8</v>
      </c>
      <c r="R116" s="12" t="s">
        <v>33</v>
      </c>
      <c r="S116" s="19">
        <v>16.466666666666669</v>
      </c>
      <c r="T116" s="12" t="s">
        <v>64</v>
      </c>
      <c r="W116" s="12" t="s">
        <v>33</v>
      </c>
      <c r="X116" s="19">
        <v>16.933333333333334</v>
      </c>
      <c r="Y116" s="12" t="s">
        <v>64</v>
      </c>
      <c r="AB116" s="12" t="s">
        <v>33</v>
      </c>
      <c r="AC116" s="19">
        <v>18.600000000000001</v>
      </c>
      <c r="AD116" s="12" t="s">
        <v>64</v>
      </c>
    </row>
    <row r="117" spans="1:30" x14ac:dyDescent="0.35">
      <c r="A117" s="1" t="s">
        <v>3</v>
      </c>
      <c r="B117" s="4">
        <v>14</v>
      </c>
      <c r="C117" s="4">
        <v>16</v>
      </c>
      <c r="D117" s="4">
        <v>15</v>
      </c>
      <c r="E117" s="4">
        <v>13</v>
      </c>
      <c r="F117" s="4">
        <v>13</v>
      </c>
      <c r="G117" s="2">
        <f t="shared" si="36"/>
        <v>71</v>
      </c>
      <c r="H117" s="5">
        <f t="shared" si="37"/>
        <v>14.2</v>
      </c>
      <c r="R117" s="12" t="s">
        <v>49</v>
      </c>
      <c r="S117" s="19">
        <v>20.233333333333334</v>
      </c>
      <c r="T117" s="12" t="s">
        <v>65</v>
      </c>
      <c r="W117" s="12" t="s">
        <v>49</v>
      </c>
      <c r="X117" s="19">
        <v>16.8</v>
      </c>
      <c r="Y117" s="12" t="s">
        <v>64</v>
      </c>
      <c r="AB117" s="12" t="s">
        <v>49</v>
      </c>
      <c r="AC117" s="19">
        <v>18.133333333333333</v>
      </c>
      <c r="AD117" s="12" t="s">
        <v>64</v>
      </c>
    </row>
    <row r="118" spans="1:30" x14ac:dyDescent="0.35">
      <c r="A118" s="1" t="s">
        <v>4</v>
      </c>
      <c r="B118" s="4">
        <v>19</v>
      </c>
      <c r="C118" s="4">
        <v>20</v>
      </c>
      <c r="D118" s="4">
        <v>18</v>
      </c>
      <c r="E118" s="4">
        <v>19</v>
      </c>
      <c r="F118" s="4">
        <v>17</v>
      </c>
      <c r="G118" s="2">
        <f t="shared" si="36"/>
        <v>93</v>
      </c>
      <c r="H118" s="5">
        <f t="shared" si="37"/>
        <v>18.600000000000001</v>
      </c>
    </row>
    <row r="119" spans="1:30" x14ac:dyDescent="0.35">
      <c r="A119" s="1" t="s">
        <v>1</v>
      </c>
      <c r="B119" s="4">
        <v>15</v>
      </c>
      <c r="C119" s="4">
        <v>18</v>
      </c>
      <c r="D119" s="4">
        <v>18</v>
      </c>
      <c r="E119" s="4">
        <v>14</v>
      </c>
      <c r="F119" s="4">
        <v>15</v>
      </c>
      <c r="G119" s="2">
        <f t="shared" si="36"/>
        <v>80</v>
      </c>
      <c r="H119" s="5">
        <f t="shared" si="37"/>
        <v>16</v>
      </c>
    </row>
  </sheetData>
  <sortState xmlns:xlrd2="http://schemas.microsoft.com/office/spreadsheetml/2017/richdata2" ref="AB115:AD117">
    <sortCondition ref="AB115:AB117"/>
  </sortState>
  <mergeCells count="52">
    <mergeCell ref="J107:P107"/>
    <mergeCell ref="J106:P106"/>
    <mergeCell ref="R20:Y20"/>
    <mergeCell ref="R60:Y60"/>
    <mergeCell ref="A1:H1"/>
    <mergeCell ref="A2:A4"/>
    <mergeCell ref="B2:F2"/>
    <mergeCell ref="G2:G4"/>
    <mergeCell ref="H2:H4"/>
    <mergeCell ref="B3:F3"/>
    <mergeCell ref="A28:A30"/>
    <mergeCell ref="B28:F28"/>
    <mergeCell ref="G28:G30"/>
    <mergeCell ref="H28:H30"/>
    <mergeCell ref="B29:F29"/>
    <mergeCell ref="A15:A17"/>
    <mergeCell ref="B15:F15"/>
    <mergeCell ref="G15:G17"/>
    <mergeCell ref="H15:H17"/>
    <mergeCell ref="B16:F16"/>
    <mergeCell ref="A41:H41"/>
    <mergeCell ref="A42:A44"/>
    <mergeCell ref="B42:F42"/>
    <mergeCell ref="G42:G44"/>
    <mergeCell ref="H42:H44"/>
    <mergeCell ref="B43:F43"/>
    <mergeCell ref="A68:A70"/>
    <mergeCell ref="B68:F68"/>
    <mergeCell ref="G68:G70"/>
    <mergeCell ref="H68:H70"/>
    <mergeCell ref="B69:F69"/>
    <mergeCell ref="A55:A57"/>
    <mergeCell ref="B55:F55"/>
    <mergeCell ref="G55:G57"/>
    <mergeCell ref="H55:H57"/>
    <mergeCell ref="B56:F56"/>
    <mergeCell ref="A81:H81"/>
    <mergeCell ref="A82:A84"/>
    <mergeCell ref="B82:F82"/>
    <mergeCell ref="G82:G84"/>
    <mergeCell ref="H82:H84"/>
    <mergeCell ref="B83:F83"/>
    <mergeCell ref="A108:A110"/>
    <mergeCell ref="B108:F108"/>
    <mergeCell ref="G108:G110"/>
    <mergeCell ref="H108:H110"/>
    <mergeCell ref="B109:F109"/>
    <mergeCell ref="A95:A97"/>
    <mergeCell ref="B95:F95"/>
    <mergeCell ref="G95:G97"/>
    <mergeCell ref="H95:H97"/>
    <mergeCell ref="B96:F9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9"/>
  <sheetViews>
    <sheetView tabSelected="1" topLeftCell="E6" workbookViewId="0">
      <selection activeCell="K22" sqref="K22"/>
    </sheetView>
  </sheetViews>
  <sheetFormatPr defaultRowHeight="14.5" x14ac:dyDescent="0.35"/>
  <cols>
    <col min="26" max="26" width="11.81640625" bestFit="1" customWidth="1"/>
  </cols>
  <sheetData>
    <row r="1" spans="1:27" x14ac:dyDescent="0.35">
      <c r="A1" s="32" t="s">
        <v>26</v>
      </c>
      <c r="B1" s="32"/>
      <c r="C1" s="32"/>
      <c r="D1" s="32"/>
      <c r="E1" s="32"/>
      <c r="F1" s="32"/>
      <c r="G1" s="32"/>
      <c r="H1" s="32"/>
    </row>
    <row r="2" spans="1:27" x14ac:dyDescent="0.35">
      <c r="A2" s="26" t="s">
        <v>0</v>
      </c>
      <c r="B2" s="27" t="s">
        <v>10</v>
      </c>
      <c r="C2" s="27"/>
      <c r="D2" s="27"/>
      <c r="E2" s="27"/>
      <c r="F2" s="27"/>
      <c r="G2" s="26" t="s">
        <v>12</v>
      </c>
      <c r="H2" s="26" t="s">
        <v>13</v>
      </c>
      <c r="J2" s="2" t="s">
        <v>28</v>
      </c>
      <c r="K2" s="2" t="s">
        <v>10</v>
      </c>
      <c r="L2" s="2" t="s">
        <v>16</v>
      </c>
      <c r="M2" s="2" t="s">
        <v>20</v>
      </c>
      <c r="N2" s="2" t="s">
        <v>29</v>
      </c>
      <c r="O2" s="2" t="s">
        <v>30</v>
      </c>
      <c r="Q2" s="8" t="s">
        <v>31</v>
      </c>
      <c r="R2" s="9"/>
    </row>
    <row r="3" spans="1:27" x14ac:dyDescent="0.35">
      <c r="A3" s="26"/>
      <c r="B3" s="27" t="s">
        <v>11</v>
      </c>
      <c r="C3" s="27"/>
      <c r="D3" s="27"/>
      <c r="E3" s="27"/>
      <c r="F3" s="27"/>
      <c r="G3" s="26"/>
      <c r="H3" s="26"/>
      <c r="J3" s="2" t="s">
        <v>8</v>
      </c>
      <c r="K3" s="5">
        <f>H12</f>
        <v>4.2</v>
      </c>
      <c r="L3" s="5">
        <f>H20</f>
        <v>3.8</v>
      </c>
      <c r="M3" s="5">
        <f>H35</f>
        <v>3.8</v>
      </c>
      <c r="N3" s="5">
        <f>SUM(K3:M3)</f>
        <v>11.8</v>
      </c>
      <c r="O3" s="19">
        <f>AVERAGE(K3:M3)</f>
        <v>3.9333333333333336</v>
      </c>
      <c r="Q3" s="12"/>
      <c r="R3" s="12" t="s">
        <v>32</v>
      </c>
      <c r="S3" s="12" t="s">
        <v>33</v>
      </c>
      <c r="T3" s="12" t="s">
        <v>49</v>
      </c>
      <c r="U3" s="12" t="s">
        <v>29</v>
      </c>
      <c r="V3" s="12" t="s">
        <v>57</v>
      </c>
      <c r="X3" s="12" t="s">
        <v>58</v>
      </c>
      <c r="Y3" s="12" t="s">
        <v>59</v>
      </c>
      <c r="Z3" s="12" t="s">
        <v>60</v>
      </c>
    </row>
    <row r="4" spans="1:27" x14ac:dyDescent="0.35">
      <c r="A4" s="26"/>
      <c r="B4" s="3">
        <v>1</v>
      </c>
      <c r="C4" s="3">
        <v>2</v>
      </c>
      <c r="D4" s="3">
        <v>3</v>
      </c>
      <c r="E4" s="3">
        <v>4</v>
      </c>
      <c r="F4" s="3">
        <v>5</v>
      </c>
      <c r="G4" s="26"/>
      <c r="H4" s="26"/>
      <c r="J4" s="2" t="s">
        <v>6</v>
      </c>
      <c r="K4" s="5">
        <f>H10</f>
        <v>4.5999999999999996</v>
      </c>
      <c r="L4" s="5">
        <f>H18</f>
        <v>4</v>
      </c>
      <c r="M4" s="5">
        <f>H33</f>
        <v>3.8</v>
      </c>
      <c r="N4" s="5">
        <f t="shared" ref="N4:N11" si="0">SUM(K4:M4)</f>
        <v>12.399999999999999</v>
      </c>
      <c r="O4" s="19">
        <f t="shared" ref="O4:O11" si="1">AVERAGE(K4:M4)</f>
        <v>4.1333333333333329</v>
      </c>
      <c r="Q4" s="12" t="s">
        <v>50</v>
      </c>
      <c r="R4" s="11">
        <f>N3</f>
        <v>11.8</v>
      </c>
      <c r="S4" s="11">
        <f>N6</f>
        <v>10.6</v>
      </c>
      <c r="T4" s="11">
        <f>N9</f>
        <v>11.600000000000001</v>
      </c>
      <c r="U4" s="11">
        <f>SUM(R4:T4)</f>
        <v>34</v>
      </c>
      <c r="V4" s="12">
        <f>U4/(15*3)</f>
        <v>0.75555555555555554</v>
      </c>
      <c r="X4" s="12">
        <f>SQRT(M22/(15*3))</f>
        <v>5.1878300133016926E-2</v>
      </c>
      <c r="Y4" s="12">
        <v>3</v>
      </c>
      <c r="Z4" s="12">
        <f>X4*Y4</f>
        <v>0.15563490039905079</v>
      </c>
    </row>
    <row r="5" spans="1:27" x14ac:dyDescent="0.35">
      <c r="A5" s="1" t="s">
        <v>1</v>
      </c>
      <c r="B5" s="4">
        <v>5</v>
      </c>
      <c r="C5" s="4">
        <v>5</v>
      </c>
      <c r="D5" s="4">
        <v>4</v>
      </c>
      <c r="E5" s="4">
        <v>4</v>
      </c>
      <c r="F5" s="4">
        <v>3</v>
      </c>
      <c r="G5" s="4">
        <f>SUM(B5:F5)</f>
        <v>21</v>
      </c>
      <c r="H5" s="4">
        <f>AVERAGE(B5:F5)</f>
        <v>4.2</v>
      </c>
      <c r="J5" s="2" t="s">
        <v>5</v>
      </c>
      <c r="K5" s="5">
        <f>H9</f>
        <v>4</v>
      </c>
      <c r="L5" s="5">
        <f>H25</f>
        <v>4</v>
      </c>
      <c r="M5" s="5">
        <f>H34</f>
        <v>4.2</v>
      </c>
      <c r="N5" s="5">
        <f t="shared" si="0"/>
        <v>12.2</v>
      </c>
      <c r="O5" s="19">
        <f t="shared" si="1"/>
        <v>4.0666666666666664</v>
      </c>
      <c r="Q5" s="12" t="s">
        <v>51</v>
      </c>
      <c r="R5" s="11">
        <f>N4</f>
        <v>12.399999999999999</v>
      </c>
      <c r="S5" s="11">
        <f>N7</f>
        <v>11.399999999999999</v>
      </c>
      <c r="T5" s="11">
        <f>N10</f>
        <v>12.599999999999998</v>
      </c>
      <c r="U5" s="11">
        <f>SUM(R5:T5)</f>
        <v>36.399999999999991</v>
      </c>
      <c r="V5" s="12">
        <f>U5/(15*3)</f>
        <v>0.80888888888888866</v>
      </c>
    </row>
    <row r="6" spans="1:27" x14ac:dyDescent="0.35">
      <c r="A6" s="1" t="s">
        <v>2</v>
      </c>
      <c r="B6" s="4">
        <v>5</v>
      </c>
      <c r="C6" s="4">
        <v>4</v>
      </c>
      <c r="D6" s="4">
        <v>5</v>
      </c>
      <c r="E6" s="4">
        <v>5</v>
      </c>
      <c r="F6" s="4">
        <v>4</v>
      </c>
      <c r="G6" s="4">
        <f t="shared" ref="G6:G13" si="2">SUM(B6:F6)</f>
        <v>23</v>
      </c>
      <c r="H6" s="4">
        <f t="shared" ref="H6:H13" si="3">AVERAGE(B6:F6)</f>
        <v>4.5999999999999996</v>
      </c>
      <c r="J6" s="2" t="s">
        <v>3</v>
      </c>
      <c r="K6" s="5">
        <f>H7</f>
        <v>3.4</v>
      </c>
      <c r="L6" s="5">
        <f>H22</f>
        <v>3.4</v>
      </c>
      <c r="M6" s="5">
        <f>H37</f>
        <v>3.8</v>
      </c>
      <c r="N6" s="5">
        <f t="shared" si="0"/>
        <v>10.6</v>
      </c>
      <c r="O6" s="19">
        <f t="shared" si="1"/>
        <v>3.5333333333333332</v>
      </c>
      <c r="Q6" s="12" t="s">
        <v>52</v>
      </c>
      <c r="R6" s="11">
        <f>N5</f>
        <v>12.2</v>
      </c>
      <c r="S6" s="11">
        <f>N8</f>
        <v>13.8</v>
      </c>
      <c r="T6" s="11">
        <f>N11</f>
        <v>14.600000000000001</v>
      </c>
      <c r="U6" s="11">
        <f>SUM(R6:T6)</f>
        <v>40.6</v>
      </c>
      <c r="V6" s="12">
        <f>U6/(15*3)</f>
        <v>0.90222222222222226</v>
      </c>
    </row>
    <row r="7" spans="1:27" x14ac:dyDescent="0.35">
      <c r="A7" s="1" t="s">
        <v>3</v>
      </c>
      <c r="B7" s="4">
        <v>2</v>
      </c>
      <c r="C7" s="4">
        <v>2</v>
      </c>
      <c r="D7" s="4">
        <v>5</v>
      </c>
      <c r="E7" s="4">
        <v>4</v>
      </c>
      <c r="F7" s="4">
        <v>4</v>
      </c>
      <c r="G7" s="4">
        <f t="shared" si="2"/>
        <v>17</v>
      </c>
      <c r="H7" s="4">
        <f t="shared" si="3"/>
        <v>3.4</v>
      </c>
      <c r="J7" s="2" t="s">
        <v>7</v>
      </c>
      <c r="K7" s="5">
        <f>H11</f>
        <v>3.6</v>
      </c>
      <c r="L7" s="5">
        <f>H23</f>
        <v>4</v>
      </c>
      <c r="M7" s="5">
        <f>H31</f>
        <v>3.8</v>
      </c>
      <c r="N7" s="5">
        <f t="shared" si="0"/>
        <v>11.399999999999999</v>
      </c>
      <c r="O7" s="19">
        <f t="shared" si="1"/>
        <v>3.7999999999999994</v>
      </c>
      <c r="Q7" s="12" t="s">
        <v>29</v>
      </c>
      <c r="R7" s="11">
        <f>SUM(R4:R6)</f>
        <v>36.4</v>
      </c>
      <c r="S7" s="11">
        <f t="shared" ref="S7:U7" si="4">SUM(S4:S6)</f>
        <v>35.799999999999997</v>
      </c>
      <c r="T7" s="11">
        <f t="shared" si="4"/>
        <v>38.799999999999997</v>
      </c>
      <c r="U7" s="13">
        <f t="shared" si="4"/>
        <v>111</v>
      </c>
      <c r="X7" s="12" t="s">
        <v>61</v>
      </c>
      <c r="Y7" s="12" t="s">
        <v>57</v>
      </c>
      <c r="Z7" s="12" t="s">
        <v>62</v>
      </c>
      <c r="AA7" s="12" t="s">
        <v>63</v>
      </c>
    </row>
    <row r="8" spans="1:27" x14ac:dyDescent="0.35">
      <c r="A8" s="1" t="s">
        <v>4</v>
      </c>
      <c r="B8" s="4">
        <v>7</v>
      </c>
      <c r="C8" s="4">
        <v>6</v>
      </c>
      <c r="D8" s="4">
        <v>4</v>
      </c>
      <c r="E8" s="4">
        <v>4</v>
      </c>
      <c r="F8" s="4">
        <v>4</v>
      </c>
      <c r="G8" s="4">
        <f t="shared" si="2"/>
        <v>25</v>
      </c>
      <c r="H8" s="4">
        <f t="shared" si="3"/>
        <v>5</v>
      </c>
      <c r="J8" s="2" t="s">
        <v>4</v>
      </c>
      <c r="K8" s="5">
        <f>H8</f>
        <v>5</v>
      </c>
      <c r="L8" s="5">
        <f>H21</f>
        <v>4.4000000000000004</v>
      </c>
      <c r="M8" s="5">
        <f>H38</f>
        <v>4.4000000000000004</v>
      </c>
      <c r="N8" s="5">
        <f t="shared" si="0"/>
        <v>13.8</v>
      </c>
      <c r="O8" s="19">
        <f t="shared" si="1"/>
        <v>4.6000000000000005</v>
      </c>
      <c r="Q8" s="23" t="s">
        <v>56</v>
      </c>
      <c r="R8" s="12">
        <f>R7/(15*3)</f>
        <v>0.80888888888888888</v>
      </c>
      <c r="S8" s="12">
        <f>S7/(15*3)</f>
        <v>0.79555555555555546</v>
      </c>
      <c r="T8" s="12">
        <f>T7/(15*3)</f>
        <v>0.86222222222222211</v>
      </c>
      <c r="X8" s="12" t="s">
        <v>50</v>
      </c>
      <c r="Y8" s="19">
        <f>V4</f>
        <v>0.75555555555555554</v>
      </c>
      <c r="Z8" s="19">
        <f>Y8+Z4</f>
        <v>0.91119045595460635</v>
      </c>
      <c r="AA8" s="12" t="s">
        <v>64</v>
      </c>
    </row>
    <row r="9" spans="1:27" x14ac:dyDescent="0.35">
      <c r="A9" s="1" t="s">
        <v>5</v>
      </c>
      <c r="B9" s="4">
        <v>4</v>
      </c>
      <c r="C9" s="4">
        <v>3</v>
      </c>
      <c r="D9" s="4">
        <v>4</v>
      </c>
      <c r="E9" s="4">
        <v>4</v>
      </c>
      <c r="F9" s="4">
        <v>5</v>
      </c>
      <c r="G9" s="4">
        <f t="shared" si="2"/>
        <v>20</v>
      </c>
      <c r="H9" s="4">
        <f t="shared" si="3"/>
        <v>4</v>
      </c>
      <c r="J9" s="2" t="s">
        <v>1</v>
      </c>
      <c r="K9" s="5">
        <f>H5</f>
        <v>4.2</v>
      </c>
      <c r="L9" s="5">
        <f>H26</f>
        <v>3.6</v>
      </c>
      <c r="M9" s="5">
        <f>H39</f>
        <v>3.8</v>
      </c>
      <c r="N9" s="5">
        <f t="shared" si="0"/>
        <v>11.600000000000001</v>
      </c>
      <c r="O9" s="19">
        <f t="shared" si="1"/>
        <v>3.8666666666666671</v>
      </c>
      <c r="Q9" s="14" t="s">
        <v>34</v>
      </c>
      <c r="R9" s="24">
        <f>U7^2/27</f>
        <v>456.33333333333331</v>
      </c>
      <c r="X9" s="12" t="s">
        <v>51</v>
      </c>
      <c r="Y9" s="19">
        <f>V5</f>
        <v>0.80888888888888866</v>
      </c>
      <c r="Z9" s="19"/>
      <c r="AA9" s="12" t="s">
        <v>64</v>
      </c>
    </row>
    <row r="10" spans="1:27" x14ac:dyDescent="0.35">
      <c r="A10" s="1" t="s">
        <v>6</v>
      </c>
      <c r="B10" s="4">
        <v>3</v>
      </c>
      <c r="C10" s="4">
        <v>6</v>
      </c>
      <c r="D10" s="4">
        <v>4</v>
      </c>
      <c r="E10" s="4">
        <v>4</v>
      </c>
      <c r="F10" s="4">
        <v>6</v>
      </c>
      <c r="G10" s="4">
        <f t="shared" si="2"/>
        <v>23</v>
      </c>
      <c r="H10" s="4">
        <f t="shared" si="3"/>
        <v>4.5999999999999996</v>
      </c>
      <c r="J10" s="2" t="s">
        <v>2</v>
      </c>
      <c r="K10" s="5">
        <f>H6</f>
        <v>4.5999999999999996</v>
      </c>
      <c r="L10" s="5">
        <f>H24</f>
        <v>3.8</v>
      </c>
      <c r="M10" s="5">
        <f>H36</f>
        <v>4.2</v>
      </c>
      <c r="N10" s="5">
        <f t="shared" si="0"/>
        <v>12.599999999999998</v>
      </c>
      <c r="O10" s="19">
        <f t="shared" si="1"/>
        <v>4.1999999999999993</v>
      </c>
      <c r="Q10" s="15" t="s">
        <v>35</v>
      </c>
      <c r="R10" s="15">
        <f>SQRT(M22)/O13*100</f>
        <v>8.4651133856031908</v>
      </c>
      <c r="X10" s="12" t="s">
        <v>52</v>
      </c>
      <c r="Y10" s="19">
        <f>V6</f>
        <v>0.90222222222222226</v>
      </c>
      <c r="Z10" s="19"/>
      <c r="AA10" s="12" t="s">
        <v>64</v>
      </c>
    </row>
    <row r="11" spans="1:27" x14ac:dyDescent="0.35">
      <c r="A11" s="1" t="s">
        <v>7</v>
      </c>
      <c r="B11" s="4">
        <v>4</v>
      </c>
      <c r="C11" s="4">
        <v>2</v>
      </c>
      <c r="D11" s="4">
        <v>5</v>
      </c>
      <c r="E11" s="4">
        <v>5</v>
      </c>
      <c r="F11" s="4">
        <v>2</v>
      </c>
      <c r="G11" s="4">
        <f t="shared" si="2"/>
        <v>18</v>
      </c>
      <c r="H11" s="4">
        <f t="shared" si="3"/>
        <v>3.6</v>
      </c>
      <c r="J11" s="2" t="s">
        <v>9</v>
      </c>
      <c r="K11" s="5">
        <f>H13</f>
        <v>5.8</v>
      </c>
      <c r="L11" s="5">
        <f>H19</f>
        <v>4</v>
      </c>
      <c r="M11" s="5">
        <f>H32</f>
        <v>4.8</v>
      </c>
      <c r="N11" s="5">
        <f t="shared" si="0"/>
        <v>14.600000000000001</v>
      </c>
      <c r="O11" s="19">
        <f t="shared" si="1"/>
        <v>4.8666666666666671</v>
      </c>
    </row>
    <row r="12" spans="1:27" x14ac:dyDescent="0.35">
      <c r="A12" s="1" t="s">
        <v>8</v>
      </c>
      <c r="B12" s="4">
        <v>3</v>
      </c>
      <c r="C12" s="4">
        <v>4</v>
      </c>
      <c r="D12" s="4">
        <v>6</v>
      </c>
      <c r="E12" s="4">
        <v>3</v>
      </c>
      <c r="F12" s="4">
        <v>5</v>
      </c>
      <c r="G12" s="4">
        <f t="shared" si="2"/>
        <v>21</v>
      </c>
      <c r="H12" s="4">
        <f t="shared" si="3"/>
        <v>4.2</v>
      </c>
      <c r="J12" s="2" t="s">
        <v>12</v>
      </c>
      <c r="K12" s="5">
        <f>SUM(K3:K11)</f>
        <v>39.4</v>
      </c>
      <c r="L12" s="5">
        <f t="shared" ref="L12:N12" si="5">SUM(L3:L11)</f>
        <v>35</v>
      </c>
      <c r="M12" s="5">
        <f>SUM(M3:M11)</f>
        <v>36.6</v>
      </c>
      <c r="N12" s="20">
        <f t="shared" si="5"/>
        <v>111</v>
      </c>
      <c r="O12" s="19"/>
      <c r="X12" s="12" t="s">
        <v>61</v>
      </c>
      <c r="Y12" s="12" t="s">
        <v>57</v>
      </c>
      <c r="Z12" s="12" t="s">
        <v>63</v>
      </c>
    </row>
    <row r="13" spans="1:27" x14ac:dyDescent="0.35">
      <c r="A13" s="1" t="s">
        <v>9</v>
      </c>
      <c r="B13" s="4">
        <v>7</v>
      </c>
      <c r="C13" s="4">
        <v>6</v>
      </c>
      <c r="D13" s="4">
        <v>7</v>
      </c>
      <c r="E13" s="4">
        <v>5</v>
      </c>
      <c r="F13" s="4">
        <v>4</v>
      </c>
      <c r="G13" s="4">
        <f t="shared" si="2"/>
        <v>29</v>
      </c>
      <c r="H13" s="4">
        <f t="shared" si="3"/>
        <v>5.8</v>
      </c>
      <c r="J13" s="2" t="s">
        <v>13</v>
      </c>
      <c r="K13" s="19">
        <f>AVERAGE(K3:K11)</f>
        <v>4.3777777777777773</v>
      </c>
      <c r="L13" s="19">
        <f t="shared" ref="L13:M13" si="6">AVERAGE(L3:L11)</f>
        <v>3.8888888888888888</v>
      </c>
      <c r="M13" s="19">
        <f t="shared" si="6"/>
        <v>4.0666666666666664</v>
      </c>
      <c r="N13" s="19"/>
      <c r="O13" s="19">
        <f>AVERAGE(K3:M11)</f>
        <v>4.1111111111111107</v>
      </c>
      <c r="X13" s="12" t="s">
        <v>50</v>
      </c>
      <c r="Y13" s="19">
        <f>Y8</f>
        <v>0.75555555555555554</v>
      </c>
      <c r="Z13" s="12" t="s">
        <v>64</v>
      </c>
    </row>
    <row r="14" spans="1:27" x14ac:dyDescent="0.35">
      <c r="J14" s="16"/>
      <c r="X14" s="12" t="s">
        <v>51</v>
      </c>
      <c r="Y14" s="19">
        <f>Y9</f>
        <v>0.80888888888888866</v>
      </c>
      <c r="Z14" s="12" t="s">
        <v>64</v>
      </c>
    </row>
    <row r="15" spans="1:27" x14ac:dyDescent="0.35">
      <c r="A15" s="26" t="s">
        <v>0</v>
      </c>
      <c r="B15" s="27" t="s">
        <v>16</v>
      </c>
      <c r="C15" s="27"/>
      <c r="D15" s="27"/>
      <c r="E15" s="27"/>
      <c r="F15" s="27"/>
      <c r="G15" s="26" t="s">
        <v>12</v>
      </c>
      <c r="H15" s="26" t="s">
        <v>13</v>
      </c>
      <c r="J15" s="17" t="s">
        <v>36</v>
      </c>
      <c r="K15" s="9"/>
      <c r="X15" s="12" t="s">
        <v>52</v>
      </c>
      <c r="Y15" s="19">
        <f>Y10</f>
        <v>0.90222222222222226</v>
      </c>
      <c r="Z15" s="12" t="s">
        <v>64</v>
      </c>
    </row>
    <row r="16" spans="1:27" x14ac:dyDescent="0.35">
      <c r="A16" s="26"/>
      <c r="B16" s="27" t="s">
        <v>11</v>
      </c>
      <c r="C16" s="27"/>
      <c r="D16" s="27"/>
      <c r="E16" s="27"/>
      <c r="F16" s="27"/>
      <c r="G16" s="26"/>
      <c r="H16" s="26"/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 t="s">
        <v>42</v>
      </c>
      <c r="P16" s="2" t="s">
        <v>43</v>
      </c>
    </row>
    <row r="17" spans="1:25" x14ac:dyDescent="0.35">
      <c r="A17" s="26"/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26"/>
      <c r="H17" s="26"/>
      <c r="J17" s="2" t="s">
        <v>44</v>
      </c>
      <c r="K17" s="6">
        <f>3-1</f>
        <v>2</v>
      </c>
      <c r="L17" s="10">
        <f>SUMSQ(K12:M12)/9-R9</f>
        <v>1.102222222222224</v>
      </c>
      <c r="M17" s="10">
        <f t="shared" ref="M17:M22" si="7">L17/K17</f>
        <v>0.551111111111112</v>
      </c>
      <c r="N17" s="10">
        <f>M17/M22</f>
        <v>4.5504587155962941</v>
      </c>
      <c r="O17" s="10">
        <f>FINV(5%,K17,K22)</f>
        <v>3.6337234675916301</v>
      </c>
      <c r="P17" s="2" t="str">
        <f>IF(N17&gt;O17,"*","NS")</f>
        <v>*</v>
      </c>
    </row>
    <row r="18" spans="1:25" x14ac:dyDescent="0.35">
      <c r="A18" s="1" t="s">
        <v>6</v>
      </c>
      <c r="B18" s="4">
        <v>5</v>
      </c>
      <c r="C18" s="4">
        <v>5</v>
      </c>
      <c r="D18" s="4">
        <v>3</v>
      </c>
      <c r="E18" s="4">
        <v>3</v>
      </c>
      <c r="F18" s="4">
        <v>4</v>
      </c>
      <c r="G18" s="4">
        <f>SUM(B18:F18)</f>
        <v>20</v>
      </c>
      <c r="H18" s="4">
        <f>AVERAGE(B18:F18)</f>
        <v>4</v>
      </c>
      <c r="J18" s="2" t="s">
        <v>45</v>
      </c>
      <c r="K18" s="2">
        <f>9-1</f>
        <v>8</v>
      </c>
      <c r="L18" s="10">
        <f>SUMSQ(N3:N11)/3-R9</f>
        <v>4.0266666666666424</v>
      </c>
      <c r="M18" s="10">
        <f t="shared" si="7"/>
        <v>0.5033333333333303</v>
      </c>
      <c r="N18" s="10">
        <f>M18/M22</f>
        <v>4.1559633027522285</v>
      </c>
      <c r="O18" s="10">
        <f>FINV(5%,K18,K22)</f>
        <v>2.5910961798744014</v>
      </c>
      <c r="P18" s="2" t="str">
        <f>IF(N18&gt;O18,"*","NS")</f>
        <v>*</v>
      </c>
    </row>
    <row r="19" spans="1:25" x14ac:dyDescent="0.35">
      <c r="A19" s="1" t="s">
        <v>9</v>
      </c>
      <c r="B19" s="4">
        <v>4</v>
      </c>
      <c r="C19" s="4">
        <v>3</v>
      </c>
      <c r="D19" s="4">
        <v>4</v>
      </c>
      <c r="E19" s="4">
        <v>5</v>
      </c>
      <c r="F19" s="4">
        <v>4</v>
      </c>
      <c r="G19" s="4">
        <f t="shared" ref="G19:G26" si="8">SUM(B19:F19)</f>
        <v>20</v>
      </c>
      <c r="H19" s="4">
        <f t="shared" ref="H19:H26" si="9">AVERAGE(B19:F19)</f>
        <v>4</v>
      </c>
      <c r="J19" s="2" t="s">
        <v>46</v>
      </c>
      <c r="K19" s="2">
        <f>3-1</f>
        <v>2</v>
      </c>
      <c r="L19" s="10">
        <f>SUMSQ(R7:T7)/9-R9</f>
        <v>0.55999999999988859</v>
      </c>
      <c r="M19" s="10">
        <f t="shared" si="7"/>
        <v>0.27999999999994429</v>
      </c>
      <c r="N19" s="10">
        <f>M19/M22</f>
        <v>2.3119266055041048</v>
      </c>
      <c r="O19" s="10">
        <f>FINV(5%,K19,K22)</f>
        <v>3.6337234675916301</v>
      </c>
      <c r="P19" s="2" t="str">
        <f>IF(N19&gt;O19,"*","NS")</f>
        <v>NS</v>
      </c>
      <c r="R19" s="33" t="s">
        <v>66</v>
      </c>
      <c r="S19" s="33"/>
      <c r="T19" s="33"/>
      <c r="U19" s="33"/>
      <c r="V19" s="33"/>
      <c r="W19" s="33"/>
      <c r="X19" s="33"/>
      <c r="Y19" s="33"/>
    </row>
    <row r="20" spans="1:25" x14ac:dyDescent="0.35">
      <c r="A20" s="1" t="s">
        <v>8</v>
      </c>
      <c r="B20" s="4">
        <v>1</v>
      </c>
      <c r="C20" s="4">
        <v>4</v>
      </c>
      <c r="D20" s="4">
        <v>4</v>
      </c>
      <c r="E20" s="4">
        <v>7</v>
      </c>
      <c r="F20" s="4">
        <v>3</v>
      </c>
      <c r="G20" s="4">
        <f t="shared" si="8"/>
        <v>19</v>
      </c>
      <c r="H20" s="4">
        <f t="shared" si="9"/>
        <v>3.8</v>
      </c>
      <c r="J20" s="2" t="s">
        <v>53</v>
      </c>
      <c r="K20" s="2">
        <f>3-1</f>
        <v>2</v>
      </c>
      <c r="L20" s="10">
        <f>SUMSQ(U4:U6)/9-R9</f>
        <v>2.4799999999999613</v>
      </c>
      <c r="M20" s="10">
        <f t="shared" si="7"/>
        <v>1.2399999999999807</v>
      </c>
      <c r="N20" s="10">
        <f>M20/M22</f>
        <v>10.238532110091485</v>
      </c>
      <c r="O20" s="10">
        <f>FINV(5%,K20,K22)</f>
        <v>3.6337234675916301</v>
      </c>
      <c r="P20" s="2" t="str">
        <f>IF(N20&gt;O20,"*","NS")</f>
        <v>*</v>
      </c>
    </row>
    <row r="21" spans="1:25" x14ac:dyDescent="0.35">
      <c r="A21" s="1" t="s">
        <v>4</v>
      </c>
      <c r="B21" s="4">
        <v>2</v>
      </c>
      <c r="C21" s="4">
        <v>6</v>
      </c>
      <c r="D21" s="4">
        <v>4</v>
      </c>
      <c r="E21" s="4">
        <v>5</v>
      </c>
      <c r="F21" s="4">
        <v>5</v>
      </c>
      <c r="G21" s="4">
        <f t="shared" si="8"/>
        <v>22</v>
      </c>
      <c r="H21" s="4">
        <f t="shared" si="9"/>
        <v>4.4000000000000004</v>
      </c>
      <c r="J21" s="2" t="s">
        <v>54</v>
      </c>
      <c r="K21" s="2">
        <f>K19*K20</f>
        <v>4</v>
      </c>
      <c r="L21" s="10">
        <f>L18-L19-L20</f>
        <v>0.98666666666679248</v>
      </c>
      <c r="M21" s="10">
        <f t="shared" si="7"/>
        <v>0.24666666666669812</v>
      </c>
      <c r="N21" s="10">
        <f>M21/M22</f>
        <v>2.0366972477066621</v>
      </c>
      <c r="O21" s="10">
        <f>FINV(5%,K21,K22)</f>
        <v>3.0069172799243447</v>
      </c>
      <c r="P21" s="2" t="str">
        <f>IF(N21&gt;O21,"*","NS")</f>
        <v>NS</v>
      </c>
    </row>
    <row r="22" spans="1:25" x14ac:dyDescent="0.35">
      <c r="A22" s="1" t="s">
        <v>3</v>
      </c>
      <c r="B22" s="4">
        <v>3</v>
      </c>
      <c r="C22" s="4">
        <v>4</v>
      </c>
      <c r="D22" s="4">
        <v>2</v>
      </c>
      <c r="E22" s="4">
        <v>4</v>
      </c>
      <c r="F22" s="4">
        <v>4</v>
      </c>
      <c r="G22" s="4">
        <f t="shared" si="8"/>
        <v>17</v>
      </c>
      <c r="H22" s="4">
        <f t="shared" si="9"/>
        <v>3.4</v>
      </c>
      <c r="J22" s="2" t="s">
        <v>47</v>
      </c>
      <c r="K22" s="2">
        <f>K23-K18-K17</f>
        <v>16</v>
      </c>
      <c r="L22" s="10">
        <f>L23-L18-L17</f>
        <v>1.9377777777777965</v>
      </c>
      <c r="M22" s="10">
        <f t="shared" si="7"/>
        <v>0.12111111111111228</v>
      </c>
      <c r="N22" s="18"/>
      <c r="O22" s="18"/>
      <c r="P22" s="6"/>
      <c r="Q22" s="6"/>
    </row>
    <row r="23" spans="1:25" x14ac:dyDescent="0.35">
      <c r="A23" s="1" t="s">
        <v>7</v>
      </c>
      <c r="B23" s="4">
        <v>2</v>
      </c>
      <c r="C23" s="4">
        <v>5</v>
      </c>
      <c r="D23" s="4">
        <v>5</v>
      </c>
      <c r="E23" s="4">
        <v>4</v>
      </c>
      <c r="F23" s="4">
        <v>4</v>
      </c>
      <c r="G23" s="4">
        <f t="shared" si="8"/>
        <v>20</v>
      </c>
      <c r="H23" s="4">
        <f t="shared" si="9"/>
        <v>4</v>
      </c>
      <c r="J23" s="2" t="s">
        <v>48</v>
      </c>
      <c r="K23" s="2">
        <f>27-1</f>
        <v>26</v>
      </c>
      <c r="L23" s="10">
        <f>SUMSQ(K3:M11)-R9</f>
        <v>7.0666666666666629</v>
      </c>
      <c r="M23" s="18"/>
      <c r="N23" s="18"/>
      <c r="O23" s="18"/>
      <c r="P23" s="6"/>
      <c r="Q23" s="6"/>
    </row>
    <row r="24" spans="1:25" x14ac:dyDescent="0.35">
      <c r="A24" s="1" t="s">
        <v>2</v>
      </c>
      <c r="B24" s="4">
        <v>4</v>
      </c>
      <c r="C24" s="4">
        <v>3</v>
      </c>
      <c r="D24" s="4">
        <v>5</v>
      </c>
      <c r="E24" s="4">
        <v>4</v>
      </c>
      <c r="F24" s="4">
        <v>3</v>
      </c>
      <c r="G24" s="4">
        <f t="shared" si="8"/>
        <v>19</v>
      </c>
      <c r="H24" s="4">
        <f t="shared" si="9"/>
        <v>3.8</v>
      </c>
    </row>
    <row r="25" spans="1:25" x14ac:dyDescent="0.35">
      <c r="A25" s="1" t="s">
        <v>5</v>
      </c>
      <c r="B25" s="4">
        <v>4</v>
      </c>
      <c r="C25" s="4">
        <v>5</v>
      </c>
      <c r="D25" s="4">
        <v>5</v>
      </c>
      <c r="E25" s="4">
        <v>3</v>
      </c>
      <c r="F25" s="4">
        <v>3</v>
      </c>
      <c r="G25" s="4">
        <f t="shared" si="8"/>
        <v>20</v>
      </c>
      <c r="H25" s="4">
        <f t="shared" si="9"/>
        <v>4</v>
      </c>
    </row>
    <row r="26" spans="1:25" x14ac:dyDescent="0.35">
      <c r="A26" s="1" t="s">
        <v>1</v>
      </c>
      <c r="B26" s="4">
        <v>5</v>
      </c>
      <c r="C26" s="4">
        <v>4</v>
      </c>
      <c r="D26" s="4">
        <v>3</v>
      </c>
      <c r="E26" s="4">
        <v>4</v>
      </c>
      <c r="F26" s="4">
        <v>2</v>
      </c>
      <c r="G26" s="4">
        <f t="shared" si="8"/>
        <v>18</v>
      </c>
      <c r="H26" s="4">
        <f t="shared" si="9"/>
        <v>3.6</v>
      </c>
    </row>
    <row r="28" spans="1:25" x14ac:dyDescent="0.35">
      <c r="A28" s="26" t="s">
        <v>0</v>
      </c>
      <c r="B28" s="27" t="s">
        <v>20</v>
      </c>
      <c r="C28" s="27"/>
      <c r="D28" s="27"/>
      <c r="E28" s="27"/>
      <c r="F28" s="27"/>
      <c r="G28" s="26" t="s">
        <v>12</v>
      </c>
      <c r="H28" s="26" t="s">
        <v>13</v>
      </c>
    </row>
    <row r="29" spans="1:25" x14ac:dyDescent="0.35">
      <c r="A29" s="26"/>
      <c r="B29" s="27" t="s">
        <v>11</v>
      </c>
      <c r="C29" s="27"/>
      <c r="D29" s="27"/>
      <c r="E29" s="27"/>
      <c r="F29" s="27"/>
      <c r="G29" s="26"/>
      <c r="H29" s="26"/>
    </row>
    <row r="30" spans="1:25" x14ac:dyDescent="0.35">
      <c r="A30" s="26"/>
      <c r="B30" s="3">
        <v>1</v>
      </c>
      <c r="C30" s="3">
        <v>2</v>
      </c>
      <c r="D30" s="3">
        <v>3</v>
      </c>
      <c r="E30" s="3">
        <v>4</v>
      </c>
      <c r="F30" s="3">
        <v>5</v>
      </c>
      <c r="G30" s="26"/>
      <c r="H30" s="26"/>
    </row>
    <row r="31" spans="1:25" x14ac:dyDescent="0.35">
      <c r="A31" s="1" t="s">
        <v>7</v>
      </c>
      <c r="B31" s="4">
        <v>4</v>
      </c>
      <c r="C31" s="4">
        <v>4</v>
      </c>
      <c r="D31" s="4">
        <v>4</v>
      </c>
      <c r="E31" s="4">
        <v>4</v>
      </c>
      <c r="F31" s="4">
        <v>3</v>
      </c>
      <c r="G31" s="4">
        <f>SUM(B31:F31)</f>
        <v>19</v>
      </c>
      <c r="H31" s="4">
        <f>AVERAGE(B31:F31)</f>
        <v>3.8</v>
      </c>
    </row>
    <row r="32" spans="1:25" x14ac:dyDescent="0.35">
      <c r="A32" s="1" t="s">
        <v>9</v>
      </c>
      <c r="B32" s="4">
        <v>4</v>
      </c>
      <c r="C32" s="4">
        <v>5</v>
      </c>
      <c r="D32" s="4">
        <v>4</v>
      </c>
      <c r="E32" s="4">
        <v>6</v>
      </c>
      <c r="F32" s="4">
        <v>5</v>
      </c>
      <c r="G32" s="4">
        <f t="shared" ref="G32:G39" si="10">SUM(B32:F32)</f>
        <v>24</v>
      </c>
      <c r="H32" s="4">
        <f t="shared" ref="H32:H39" si="11">AVERAGE(B32:F32)</f>
        <v>4.8</v>
      </c>
    </row>
    <row r="33" spans="1:21" x14ac:dyDescent="0.35">
      <c r="A33" s="1" t="s">
        <v>6</v>
      </c>
      <c r="B33" s="4">
        <v>6</v>
      </c>
      <c r="C33" s="4">
        <v>4</v>
      </c>
      <c r="D33" s="4">
        <v>3</v>
      </c>
      <c r="E33" s="4">
        <v>3</v>
      </c>
      <c r="F33" s="4">
        <v>3</v>
      </c>
      <c r="G33" s="4">
        <f t="shared" si="10"/>
        <v>19</v>
      </c>
      <c r="H33" s="4">
        <f t="shared" si="11"/>
        <v>3.8</v>
      </c>
    </row>
    <row r="34" spans="1:21" x14ac:dyDescent="0.35">
      <c r="A34" s="1" t="s">
        <v>5</v>
      </c>
      <c r="B34" s="4">
        <v>3</v>
      </c>
      <c r="C34" s="4">
        <v>5</v>
      </c>
      <c r="D34" s="4">
        <v>4</v>
      </c>
      <c r="E34" s="4">
        <v>5</v>
      </c>
      <c r="F34" s="4">
        <v>4</v>
      </c>
      <c r="G34" s="4">
        <f t="shared" si="10"/>
        <v>21</v>
      </c>
      <c r="H34" s="4">
        <f t="shared" si="11"/>
        <v>4.2</v>
      </c>
    </row>
    <row r="35" spans="1:21" x14ac:dyDescent="0.35">
      <c r="A35" s="1" t="s">
        <v>8</v>
      </c>
      <c r="B35" s="4">
        <v>3</v>
      </c>
      <c r="C35" s="4">
        <v>5</v>
      </c>
      <c r="D35" s="4">
        <v>4</v>
      </c>
      <c r="E35" s="4">
        <v>4</v>
      </c>
      <c r="F35" s="4">
        <v>3</v>
      </c>
      <c r="G35" s="4">
        <f t="shared" si="10"/>
        <v>19</v>
      </c>
      <c r="H35" s="4">
        <f t="shared" si="11"/>
        <v>3.8</v>
      </c>
    </row>
    <row r="36" spans="1:21" x14ac:dyDescent="0.35">
      <c r="A36" s="1" t="s">
        <v>2</v>
      </c>
      <c r="B36" s="4">
        <v>6</v>
      </c>
      <c r="C36" s="4">
        <v>3</v>
      </c>
      <c r="D36" s="4">
        <v>3</v>
      </c>
      <c r="E36" s="4">
        <v>5</v>
      </c>
      <c r="F36" s="4">
        <v>4</v>
      </c>
      <c r="G36" s="4">
        <f t="shared" si="10"/>
        <v>21</v>
      </c>
      <c r="H36" s="4">
        <f t="shared" si="11"/>
        <v>4.2</v>
      </c>
    </row>
    <row r="37" spans="1:21" x14ac:dyDescent="0.35">
      <c r="A37" s="1" t="s">
        <v>3</v>
      </c>
      <c r="B37" s="4">
        <v>6</v>
      </c>
      <c r="C37" s="4">
        <v>3</v>
      </c>
      <c r="D37" s="4">
        <v>2</v>
      </c>
      <c r="E37" s="4">
        <v>5</v>
      </c>
      <c r="F37" s="4">
        <v>3</v>
      </c>
      <c r="G37" s="4">
        <f t="shared" si="10"/>
        <v>19</v>
      </c>
      <c r="H37" s="4">
        <f t="shared" si="11"/>
        <v>3.8</v>
      </c>
    </row>
    <row r="38" spans="1:21" x14ac:dyDescent="0.35">
      <c r="A38" s="1" t="s">
        <v>4</v>
      </c>
      <c r="B38" s="4">
        <v>4</v>
      </c>
      <c r="C38" s="4">
        <v>4</v>
      </c>
      <c r="D38" s="4">
        <v>5</v>
      </c>
      <c r="E38" s="4">
        <v>5</v>
      </c>
      <c r="F38" s="4">
        <v>4</v>
      </c>
      <c r="G38" s="4">
        <f t="shared" si="10"/>
        <v>22</v>
      </c>
      <c r="H38" s="4">
        <f t="shared" si="11"/>
        <v>4.4000000000000004</v>
      </c>
    </row>
    <row r="39" spans="1:21" x14ac:dyDescent="0.35">
      <c r="A39" s="1" t="s">
        <v>1</v>
      </c>
      <c r="B39" s="4">
        <v>3</v>
      </c>
      <c r="C39" s="4">
        <v>5</v>
      </c>
      <c r="D39" s="4">
        <v>4</v>
      </c>
      <c r="E39" s="4">
        <v>4</v>
      </c>
      <c r="F39" s="4">
        <v>3</v>
      </c>
      <c r="G39" s="4">
        <f t="shared" si="10"/>
        <v>19</v>
      </c>
      <c r="H39" s="4">
        <f t="shared" si="11"/>
        <v>3.8</v>
      </c>
    </row>
    <row r="41" spans="1:21" x14ac:dyDescent="0.35">
      <c r="A41" s="32" t="s">
        <v>27</v>
      </c>
      <c r="B41" s="32"/>
      <c r="C41" s="32"/>
      <c r="D41" s="32"/>
      <c r="E41" s="32"/>
      <c r="F41" s="32"/>
      <c r="G41" s="32"/>
      <c r="H41" s="32"/>
      <c r="J41" s="2" t="s">
        <v>28</v>
      </c>
      <c r="K41" s="2" t="s">
        <v>10</v>
      </c>
      <c r="L41" s="2" t="s">
        <v>16</v>
      </c>
      <c r="M41" s="2" t="s">
        <v>20</v>
      </c>
      <c r="N41" s="2" t="s">
        <v>29</v>
      </c>
      <c r="O41" s="2" t="s">
        <v>30</v>
      </c>
      <c r="Q41" s="8" t="s">
        <v>31</v>
      </c>
      <c r="R41" s="9"/>
    </row>
    <row r="42" spans="1:21" x14ac:dyDescent="0.35">
      <c r="A42" s="26" t="s">
        <v>0</v>
      </c>
      <c r="B42" s="27" t="s">
        <v>10</v>
      </c>
      <c r="C42" s="27"/>
      <c r="D42" s="27"/>
      <c r="E42" s="27"/>
      <c r="F42" s="27"/>
      <c r="G42" s="26" t="s">
        <v>12</v>
      </c>
      <c r="H42" s="26" t="s">
        <v>13</v>
      </c>
      <c r="J42" s="2" t="s">
        <v>8</v>
      </c>
      <c r="K42" s="5">
        <f>H51</f>
        <v>5.4</v>
      </c>
      <c r="L42" s="5">
        <f>H59</f>
        <v>6.4</v>
      </c>
      <c r="M42" s="5">
        <f>H74</f>
        <v>6.4</v>
      </c>
      <c r="N42" s="5">
        <f>SUM(K42:M42)</f>
        <v>18.200000000000003</v>
      </c>
      <c r="O42" s="19">
        <f>AVERAGE(K42:M42)</f>
        <v>6.0666666666666673</v>
      </c>
      <c r="Q42" s="12"/>
      <c r="R42" s="12" t="s">
        <v>32</v>
      </c>
      <c r="S42" s="12" t="s">
        <v>33</v>
      </c>
      <c r="T42" s="12" t="s">
        <v>49</v>
      </c>
      <c r="U42" s="12" t="s">
        <v>29</v>
      </c>
    </row>
    <row r="43" spans="1:21" x14ac:dyDescent="0.35">
      <c r="A43" s="26"/>
      <c r="B43" s="27" t="s">
        <v>11</v>
      </c>
      <c r="C43" s="27"/>
      <c r="D43" s="27"/>
      <c r="E43" s="27"/>
      <c r="F43" s="27"/>
      <c r="G43" s="26"/>
      <c r="H43" s="26"/>
      <c r="J43" s="2" t="s">
        <v>6</v>
      </c>
      <c r="K43" s="5">
        <f>H49</f>
        <v>7</v>
      </c>
      <c r="L43" s="5">
        <f>H57</f>
        <v>0</v>
      </c>
      <c r="M43" s="5">
        <f>H72</f>
        <v>6.6</v>
      </c>
      <c r="N43" s="5">
        <f t="shared" ref="N43:N50" si="12">SUM(K43:M43)</f>
        <v>13.6</v>
      </c>
      <c r="O43" s="19">
        <f t="shared" ref="O43:O50" si="13">AVERAGE(K43:M43)</f>
        <v>4.5333333333333332</v>
      </c>
      <c r="Q43" s="12" t="s">
        <v>50</v>
      </c>
      <c r="R43" s="11">
        <f>N42</f>
        <v>18.200000000000003</v>
      </c>
      <c r="S43" s="11">
        <f>N45</f>
        <v>18.200000000000003</v>
      </c>
      <c r="T43" s="11">
        <f>N48</f>
        <v>12.600000000000001</v>
      </c>
      <c r="U43" s="11">
        <f>SUM(R43:T43)</f>
        <v>49.000000000000007</v>
      </c>
    </row>
    <row r="44" spans="1:21" x14ac:dyDescent="0.35">
      <c r="A44" s="26"/>
      <c r="B44" s="3">
        <v>1</v>
      </c>
      <c r="C44" s="3">
        <v>2</v>
      </c>
      <c r="D44" s="3">
        <v>3</v>
      </c>
      <c r="E44" s="3">
        <v>4</v>
      </c>
      <c r="F44" s="3">
        <v>5</v>
      </c>
      <c r="G44" s="26"/>
      <c r="H44" s="26"/>
      <c r="J44" s="2" t="s">
        <v>5</v>
      </c>
      <c r="K44" s="5">
        <f>H48</f>
        <v>6.8</v>
      </c>
      <c r="L44" s="5">
        <f>H64</f>
        <v>5.4</v>
      </c>
      <c r="M44" s="5">
        <f>H73</f>
        <v>5.6</v>
      </c>
      <c r="N44" s="5">
        <f t="shared" si="12"/>
        <v>17.799999999999997</v>
      </c>
      <c r="O44" s="19">
        <f t="shared" si="13"/>
        <v>5.9333333333333327</v>
      </c>
      <c r="Q44" s="12" t="s">
        <v>51</v>
      </c>
      <c r="R44" s="11">
        <f>N43</f>
        <v>13.6</v>
      </c>
      <c r="S44" s="11">
        <f>N46</f>
        <v>10.6</v>
      </c>
      <c r="T44" s="11">
        <f>N49</f>
        <v>15.600000000000001</v>
      </c>
      <c r="U44" s="11">
        <f>SUM(R44:T44)</f>
        <v>39.799999999999997</v>
      </c>
    </row>
    <row r="45" spans="1:21" x14ac:dyDescent="0.35">
      <c r="A45" s="1" t="s">
        <v>1</v>
      </c>
      <c r="B45" s="5">
        <v>6</v>
      </c>
      <c r="C45" s="5">
        <v>5</v>
      </c>
      <c r="D45" s="5">
        <v>5</v>
      </c>
      <c r="E45" s="5">
        <v>5</v>
      </c>
      <c r="F45" s="5">
        <v>4</v>
      </c>
      <c r="G45" s="5">
        <f>SUM(B45:F45)</f>
        <v>25</v>
      </c>
      <c r="H45" s="5">
        <f>AVERAGE(B45:F45)</f>
        <v>5</v>
      </c>
      <c r="J45" s="2" t="s">
        <v>3</v>
      </c>
      <c r="K45" s="5">
        <f>H46</f>
        <v>6.2</v>
      </c>
      <c r="L45" s="5">
        <f>H61</f>
        <v>6.4</v>
      </c>
      <c r="M45" s="5">
        <f>H76</f>
        <v>5.6</v>
      </c>
      <c r="N45" s="5">
        <f t="shared" si="12"/>
        <v>18.200000000000003</v>
      </c>
      <c r="O45" s="19">
        <f t="shared" si="13"/>
        <v>6.0666666666666673</v>
      </c>
      <c r="Q45" s="12" t="s">
        <v>52</v>
      </c>
      <c r="R45" s="11">
        <f>N44</f>
        <v>17.799999999999997</v>
      </c>
      <c r="S45" s="11">
        <f>N47</f>
        <v>14.599999999999998</v>
      </c>
      <c r="T45" s="11">
        <f>N50</f>
        <v>16</v>
      </c>
      <c r="U45" s="11">
        <f>SUM(R45:T45)</f>
        <v>48.399999999999991</v>
      </c>
    </row>
    <row r="46" spans="1:21" x14ac:dyDescent="0.35">
      <c r="A46" s="1" t="s">
        <v>2</v>
      </c>
      <c r="B46" s="5">
        <v>7</v>
      </c>
      <c r="C46" s="5">
        <v>6</v>
      </c>
      <c r="D46" s="5">
        <v>6</v>
      </c>
      <c r="E46" s="5">
        <v>6</v>
      </c>
      <c r="F46" s="5">
        <v>6</v>
      </c>
      <c r="G46" s="5">
        <f t="shared" ref="G46:G53" si="14">SUM(B46:F46)</f>
        <v>31</v>
      </c>
      <c r="H46" s="5">
        <f t="shared" ref="H46:H53" si="15">AVERAGE(B46:F46)</f>
        <v>6.2</v>
      </c>
      <c r="J46" s="2" t="s">
        <v>7</v>
      </c>
      <c r="K46" s="5">
        <f>H50</f>
        <v>6</v>
      </c>
      <c r="L46" s="5">
        <f>H62</f>
        <v>4.5999999999999996</v>
      </c>
      <c r="M46" s="5">
        <f>H70</f>
        <v>0</v>
      </c>
      <c r="N46" s="5">
        <f t="shared" si="12"/>
        <v>10.6</v>
      </c>
      <c r="O46" s="19">
        <f t="shared" si="13"/>
        <v>3.5333333333333332</v>
      </c>
      <c r="Q46" s="12" t="s">
        <v>29</v>
      </c>
      <c r="R46" s="11">
        <f>SUM(R43:R45)</f>
        <v>49.6</v>
      </c>
      <c r="S46" s="11">
        <f t="shared" ref="S46:U46" si="16">SUM(S43:S45)</f>
        <v>43.400000000000006</v>
      </c>
      <c r="T46" s="11">
        <f t="shared" si="16"/>
        <v>44.2</v>
      </c>
      <c r="U46" s="13">
        <f t="shared" si="16"/>
        <v>137.19999999999999</v>
      </c>
    </row>
    <row r="47" spans="1:21" x14ac:dyDescent="0.35">
      <c r="A47" s="1" t="s">
        <v>3</v>
      </c>
      <c r="B47" s="5">
        <v>2</v>
      </c>
      <c r="C47" s="5">
        <v>4</v>
      </c>
      <c r="D47" s="5">
        <v>6</v>
      </c>
      <c r="E47" s="5">
        <v>6</v>
      </c>
      <c r="F47" s="5">
        <v>5</v>
      </c>
      <c r="G47" s="5">
        <f t="shared" si="14"/>
        <v>23</v>
      </c>
      <c r="H47" s="5">
        <f t="shared" si="15"/>
        <v>4.5999999999999996</v>
      </c>
      <c r="J47" s="2" t="s">
        <v>4</v>
      </c>
      <c r="K47" s="5">
        <f>H47</f>
        <v>4.5999999999999996</v>
      </c>
      <c r="L47" s="5">
        <f>H60</f>
        <v>4.8</v>
      </c>
      <c r="M47" s="5">
        <f>H77</f>
        <v>5.2</v>
      </c>
      <c r="N47" s="5">
        <f t="shared" si="12"/>
        <v>14.599999999999998</v>
      </c>
      <c r="O47" s="19">
        <f t="shared" si="13"/>
        <v>4.8666666666666663</v>
      </c>
    </row>
    <row r="48" spans="1:21" x14ac:dyDescent="0.35">
      <c r="A48" s="1" t="s">
        <v>4</v>
      </c>
      <c r="B48" s="5">
        <v>8</v>
      </c>
      <c r="C48" s="5">
        <v>6</v>
      </c>
      <c r="D48" s="5">
        <v>6</v>
      </c>
      <c r="E48" s="5">
        <v>7</v>
      </c>
      <c r="F48" s="5">
        <v>7</v>
      </c>
      <c r="G48" s="5">
        <f t="shared" si="14"/>
        <v>34</v>
      </c>
      <c r="H48" s="5">
        <f t="shared" si="15"/>
        <v>6.8</v>
      </c>
      <c r="J48" s="2" t="s">
        <v>1</v>
      </c>
      <c r="K48" s="5">
        <f>H44</f>
        <v>0</v>
      </c>
      <c r="L48" s="5">
        <f>H65</f>
        <v>6.2</v>
      </c>
      <c r="M48" s="5">
        <f>H78</f>
        <v>6.4</v>
      </c>
      <c r="N48" s="5">
        <f t="shared" si="12"/>
        <v>12.600000000000001</v>
      </c>
      <c r="O48" s="19">
        <f t="shared" si="13"/>
        <v>4.2</v>
      </c>
      <c r="Q48" s="14" t="s">
        <v>34</v>
      </c>
      <c r="R48" s="14">
        <f>U46^2/27</f>
        <v>697.17925925925908</v>
      </c>
    </row>
    <row r="49" spans="1:25" x14ac:dyDescent="0.35">
      <c r="A49" s="1" t="s">
        <v>5</v>
      </c>
      <c r="B49" s="5">
        <v>7</v>
      </c>
      <c r="C49" s="5">
        <v>7</v>
      </c>
      <c r="D49" s="5">
        <v>7</v>
      </c>
      <c r="E49" s="5">
        <v>6</v>
      </c>
      <c r="F49" s="5">
        <v>8</v>
      </c>
      <c r="G49" s="5">
        <f t="shared" si="14"/>
        <v>35</v>
      </c>
      <c r="H49" s="5">
        <f t="shared" si="15"/>
        <v>7</v>
      </c>
      <c r="J49" s="2" t="s">
        <v>2</v>
      </c>
      <c r="K49" s="5">
        <f>H45</f>
        <v>5</v>
      </c>
      <c r="L49" s="5">
        <f>H63</f>
        <v>5.8</v>
      </c>
      <c r="M49" s="5">
        <f>H75</f>
        <v>4.8</v>
      </c>
      <c r="N49" s="5">
        <f t="shared" si="12"/>
        <v>15.600000000000001</v>
      </c>
      <c r="O49" s="19">
        <f t="shared" si="13"/>
        <v>5.2</v>
      </c>
      <c r="Q49" s="15" t="s">
        <v>35</v>
      </c>
      <c r="R49" s="15">
        <f>SQRT(M61)/O52*100</f>
        <v>44.032765239729741</v>
      </c>
    </row>
    <row r="50" spans="1:25" x14ac:dyDescent="0.35">
      <c r="A50" s="1" t="s">
        <v>6</v>
      </c>
      <c r="B50" s="5">
        <v>4</v>
      </c>
      <c r="C50" s="5">
        <v>7</v>
      </c>
      <c r="D50" s="5">
        <v>6</v>
      </c>
      <c r="E50" s="5">
        <v>6</v>
      </c>
      <c r="F50" s="5">
        <v>7</v>
      </c>
      <c r="G50" s="5">
        <f t="shared" si="14"/>
        <v>30</v>
      </c>
      <c r="H50" s="5">
        <f t="shared" si="15"/>
        <v>6</v>
      </c>
      <c r="J50" s="2" t="s">
        <v>9</v>
      </c>
      <c r="K50" s="5">
        <f>H52</f>
        <v>5.4</v>
      </c>
      <c r="L50" s="5">
        <f>H58</f>
        <v>5.6</v>
      </c>
      <c r="M50" s="5">
        <f>H71</f>
        <v>5</v>
      </c>
      <c r="N50" s="5">
        <f t="shared" si="12"/>
        <v>16</v>
      </c>
      <c r="O50" s="19">
        <f t="shared" si="13"/>
        <v>5.333333333333333</v>
      </c>
    </row>
    <row r="51" spans="1:25" x14ac:dyDescent="0.35">
      <c r="A51" s="1" t="s">
        <v>7</v>
      </c>
      <c r="B51" s="5">
        <v>5</v>
      </c>
      <c r="C51" s="5">
        <v>5</v>
      </c>
      <c r="D51" s="5">
        <v>5</v>
      </c>
      <c r="E51" s="5">
        <v>7</v>
      </c>
      <c r="F51" s="5">
        <v>5</v>
      </c>
      <c r="G51" s="5">
        <f t="shared" si="14"/>
        <v>27</v>
      </c>
      <c r="H51" s="5">
        <f t="shared" si="15"/>
        <v>5.4</v>
      </c>
      <c r="J51" s="2" t="s">
        <v>12</v>
      </c>
      <c r="K51" s="5">
        <f>SUM(K42:K50)</f>
        <v>46.4</v>
      </c>
      <c r="L51" s="5">
        <f t="shared" ref="L51" si="17">SUM(L42:L50)</f>
        <v>45.2</v>
      </c>
      <c r="M51" s="5">
        <f>SUM(M42:M50)</f>
        <v>45.6</v>
      </c>
      <c r="N51" s="20">
        <f t="shared" ref="N51" si="18">SUM(N42:N50)</f>
        <v>137.19999999999999</v>
      </c>
      <c r="O51" s="19"/>
    </row>
    <row r="52" spans="1:25" x14ac:dyDescent="0.35">
      <c r="A52" s="1" t="s">
        <v>8</v>
      </c>
      <c r="B52" s="5">
        <v>5</v>
      </c>
      <c r="C52" s="5">
        <v>5</v>
      </c>
      <c r="D52" s="5">
        <v>6</v>
      </c>
      <c r="E52" s="5">
        <v>5</v>
      </c>
      <c r="F52" s="5">
        <v>6</v>
      </c>
      <c r="G52" s="5">
        <f t="shared" si="14"/>
        <v>27</v>
      </c>
      <c r="H52" s="5">
        <f t="shared" si="15"/>
        <v>5.4</v>
      </c>
      <c r="J52" s="2" t="s">
        <v>13</v>
      </c>
      <c r="K52" s="19">
        <f>AVERAGE(K42:K50)</f>
        <v>5.155555555555555</v>
      </c>
      <c r="L52" s="19">
        <f t="shared" ref="L52:M52" si="19">AVERAGE(L42:L50)</f>
        <v>5.0222222222222221</v>
      </c>
      <c r="M52" s="19">
        <f t="shared" si="19"/>
        <v>5.0666666666666664</v>
      </c>
      <c r="N52" s="19"/>
      <c r="O52" s="19">
        <f>AVERAGE(K42:M50)</f>
        <v>5.0814814814814815</v>
      </c>
    </row>
    <row r="53" spans="1:25" x14ac:dyDescent="0.35">
      <c r="A53" s="1" t="s">
        <v>9</v>
      </c>
      <c r="B53" s="5">
        <v>8</v>
      </c>
      <c r="C53" s="5">
        <v>7</v>
      </c>
      <c r="D53" s="5">
        <v>7</v>
      </c>
      <c r="E53" s="5">
        <v>7</v>
      </c>
      <c r="F53" s="5">
        <v>6</v>
      </c>
      <c r="G53" s="5">
        <f t="shared" si="14"/>
        <v>35</v>
      </c>
      <c r="H53" s="5">
        <f t="shared" si="15"/>
        <v>7</v>
      </c>
      <c r="J53" s="16"/>
    </row>
    <row r="54" spans="1:25" x14ac:dyDescent="0.35">
      <c r="J54" s="17" t="s">
        <v>36</v>
      </c>
      <c r="K54" s="9"/>
    </row>
    <row r="55" spans="1:25" x14ac:dyDescent="0.35">
      <c r="A55" s="26" t="s">
        <v>0</v>
      </c>
      <c r="B55" s="27" t="s">
        <v>16</v>
      </c>
      <c r="C55" s="27"/>
      <c r="D55" s="27"/>
      <c r="E55" s="27"/>
      <c r="F55" s="27"/>
      <c r="G55" s="26" t="s">
        <v>12</v>
      </c>
      <c r="H55" s="26" t="s">
        <v>13</v>
      </c>
      <c r="J55" s="2" t="s">
        <v>37</v>
      </c>
      <c r="K55" s="2" t="s">
        <v>38</v>
      </c>
      <c r="L55" s="2" t="s">
        <v>39</v>
      </c>
      <c r="M55" s="2" t="s">
        <v>40</v>
      </c>
      <c r="N55" s="2" t="s">
        <v>41</v>
      </c>
      <c r="O55" s="2" t="s">
        <v>42</v>
      </c>
      <c r="P55" s="2" t="s">
        <v>43</v>
      </c>
    </row>
    <row r="56" spans="1:25" x14ac:dyDescent="0.35">
      <c r="A56" s="26"/>
      <c r="B56" s="27" t="s">
        <v>11</v>
      </c>
      <c r="C56" s="27"/>
      <c r="D56" s="27"/>
      <c r="E56" s="27"/>
      <c r="F56" s="27"/>
      <c r="G56" s="26"/>
      <c r="H56" s="26"/>
      <c r="J56" s="2" t="s">
        <v>44</v>
      </c>
      <c r="K56" s="6">
        <f>3-1</f>
        <v>2</v>
      </c>
      <c r="L56" s="10">
        <f>SUMSQ(K51:M51)/9-R48</f>
        <v>8.296296296316541E-2</v>
      </c>
      <c r="M56" s="10">
        <f t="shared" ref="M56:M61" si="20">L56/K56</f>
        <v>4.1481481481582705E-2</v>
      </c>
      <c r="N56" s="10">
        <f>M56/M61</f>
        <v>8.285555761070736E-3</v>
      </c>
      <c r="O56" s="10">
        <f>FINV(5%,K56,K61)</f>
        <v>3.6337234675916301</v>
      </c>
      <c r="P56" s="2" t="str">
        <f>IF(N56&gt;O56,"*","NS")</f>
        <v>NS</v>
      </c>
    </row>
    <row r="57" spans="1:25" x14ac:dyDescent="0.35">
      <c r="A57" s="26"/>
      <c r="B57" s="3">
        <v>1</v>
      </c>
      <c r="C57" s="3">
        <v>2</v>
      </c>
      <c r="D57" s="3">
        <v>3</v>
      </c>
      <c r="E57" s="3">
        <v>4</v>
      </c>
      <c r="F57" s="3">
        <v>5</v>
      </c>
      <c r="G57" s="26"/>
      <c r="H57" s="26"/>
      <c r="J57" s="2" t="s">
        <v>45</v>
      </c>
      <c r="K57" s="2">
        <f>9-1</f>
        <v>8</v>
      </c>
      <c r="L57" s="10">
        <f>SUMSQ(N42:N50)/3-R48</f>
        <v>18.794074074074274</v>
      </c>
      <c r="M57" s="10">
        <f t="shared" si="20"/>
        <v>2.3492592592592842</v>
      </c>
      <c r="N57" s="10">
        <f>M57/M61</f>
        <v>0.46924357314592846</v>
      </c>
      <c r="O57" s="10">
        <f>FINV(5%,K57,K61)</f>
        <v>2.5910961798744014</v>
      </c>
      <c r="P57" s="2" t="str">
        <f>IF(N57&gt;O57,"*","NS")</f>
        <v>NS</v>
      </c>
    </row>
    <row r="58" spans="1:25" x14ac:dyDescent="0.35">
      <c r="A58" s="1" t="s">
        <v>6</v>
      </c>
      <c r="B58" s="5">
        <v>6</v>
      </c>
      <c r="C58" s="5">
        <v>6</v>
      </c>
      <c r="D58" s="5">
        <v>5</v>
      </c>
      <c r="E58" s="5">
        <v>5</v>
      </c>
      <c r="F58" s="5">
        <v>6</v>
      </c>
      <c r="G58" s="5">
        <f>SUM(B58:F58)</f>
        <v>28</v>
      </c>
      <c r="H58" s="5">
        <f>AVERAGE(B58:F58)</f>
        <v>5.6</v>
      </c>
      <c r="J58" s="2" t="s">
        <v>46</v>
      </c>
      <c r="K58" s="2">
        <f>3-1</f>
        <v>2</v>
      </c>
      <c r="L58" s="10">
        <f>SUMSQ(R46:T46)/9-R48</f>
        <v>2.5274074074077362</v>
      </c>
      <c r="M58" s="10">
        <f t="shared" si="20"/>
        <v>1.2637037037038681</v>
      </c>
      <c r="N58" s="10">
        <f>M58/M61</f>
        <v>0.25241353800632177</v>
      </c>
      <c r="O58" s="10">
        <f>FINV(5%,K58,K61)</f>
        <v>3.6337234675916301</v>
      </c>
      <c r="P58" s="2" t="str">
        <f>IF(N58&gt;O58,"*","NS")</f>
        <v>NS</v>
      </c>
    </row>
    <row r="59" spans="1:25" x14ac:dyDescent="0.35">
      <c r="A59" s="1" t="s">
        <v>9</v>
      </c>
      <c r="B59" s="5">
        <v>6</v>
      </c>
      <c r="C59" s="5">
        <v>6</v>
      </c>
      <c r="D59" s="5">
        <v>6</v>
      </c>
      <c r="E59" s="5">
        <v>7</v>
      </c>
      <c r="F59" s="5">
        <v>7</v>
      </c>
      <c r="G59" s="5">
        <f t="shared" ref="G59:G66" si="21">SUM(B59:F59)</f>
        <v>32</v>
      </c>
      <c r="H59" s="5">
        <f t="shared" ref="H59:H66" si="22">AVERAGE(B59:F59)</f>
        <v>6.4</v>
      </c>
      <c r="J59" s="2" t="s">
        <v>53</v>
      </c>
      <c r="K59" s="2">
        <f>3-1</f>
        <v>2</v>
      </c>
      <c r="L59" s="10">
        <f>SUMSQ(U43:U45)/9-R48</f>
        <v>5.8874074074076361</v>
      </c>
      <c r="M59" s="10">
        <f t="shared" si="20"/>
        <v>2.9437037037038181</v>
      </c>
      <c r="N59" s="10">
        <f>M59/M61</f>
        <v>0.58797854632885771</v>
      </c>
      <c r="O59" s="10">
        <f>FINV(5%,K59,K61)</f>
        <v>3.6337234675916301</v>
      </c>
      <c r="P59" s="2" t="str">
        <f>IF(N59&gt;O59,"*","NS")</f>
        <v>NS</v>
      </c>
      <c r="R59" s="33" t="s">
        <v>78</v>
      </c>
      <c r="S59" s="33"/>
      <c r="T59" s="33"/>
      <c r="U59" s="33"/>
      <c r="V59" s="33"/>
      <c r="W59" s="33"/>
      <c r="X59" s="33"/>
      <c r="Y59" s="33"/>
    </row>
    <row r="60" spans="1:25" x14ac:dyDescent="0.35">
      <c r="A60" s="1" t="s">
        <v>8</v>
      </c>
      <c r="B60" s="5">
        <v>3</v>
      </c>
      <c r="C60" s="5">
        <v>5</v>
      </c>
      <c r="D60" s="5">
        <v>5</v>
      </c>
      <c r="E60" s="5">
        <v>7</v>
      </c>
      <c r="F60" s="5">
        <v>4</v>
      </c>
      <c r="G60" s="5">
        <f t="shared" si="21"/>
        <v>24</v>
      </c>
      <c r="H60" s="5">
        <f t="shared" si="22"/>
        <v>4.8</v>
      </c>
      <c r="J60" s="2" t="s">
        <v>54</v>
      </c>
      <c r="K60" s="2">
        <f>K58*K59</f>
        <v>4</v>
      </c>
      <c r="L60" s="10">
        <f>L57-L58-L59</f>
        <v>10.379259259258902</v>
      </c>
      <c r="M60" s="10">
        <f t="shared" si="20"/>
        <v>2.5948148148147254</v>
      </c>
      <c r="N60" s="10">
        <f>M60/M61</f>
        <v>0.51829110412426715</v>
      </c>
      <c r="O60" s="10">
        <f>FINV(5%,K60,K61)</f>
        <v>3.0069172799243447</v>
      </c>
      <c r="P60" s="2" t="str">
        <f>IF(N60&gt;O60,"*","NS")</f>
        <v>NS</v>
      </c>
    </row>
    <row r="61" spans="1:25" x14ac:dyDescent="0.35">
      <c r="A61" s="1" t="s">
        <v>4</v>
      </c>
      <c r="B61" s="5">
        <v>5</v>
      </c>
      <c r="C61" s="5">
        <v>7</v>
      </c>
      <c r="D61" s="5">
        <v>6</v>
      </c>
      <c r="E61" s="5">
        <v>7</v>
      </c>
      <c r="F61" s="5">
        <v>7</v>
      </c>
      <c r="G61" s="5">
        <f t="shared" si="21"/>
        <v>32</v>
      </c>
      <c r="H61" s="5">
        <f t="shared" si="22"/>
        <v>6.4</v>
      </c>
      <c r="J61" s="2" t="s">
        <v>47</v>
      </c>
      <c r="K61" s="2">
        <f>K62-K57-K56</f>
        <v>16</v>
      </c>
      <c r="L61" s="10">
        <f>L62-L57-L56</f>
        <v>80.103703703703445</v>
      </c>
      <c r="M61" s="10">
        <f t="shared" si="20"/>
        <v>5.0064814814814653</v>
      </c>
      <c r="N61" s="18"/>
      <c r="O61" s="18"/>
      <c r="P61" s="6"/>
      <c r="Q61" s="6"/>
    </row>
    <row r="62" spans="1:25" x14ac:dyDescent="0.35">
      <c r="A62" s="1" t="s">
        <v>3</v>
      </c>
      <c r="B62" s="5">
        <v>4</v>
      </c>
      <c r="C62" s="5">
        <v>5</v>
      </c>
      <c r="D62" s="5">
        <v>4</v>
      </c>
      <c r="E62" s="5">
        <v>5</v>
      </c>
      <c r="F62" s="5">
        <v>5</v>
      </c>
      <c r="G62" s="5">
        <f t="shared" si="21"/>
        <v>23</v>
      </c>
      <c r="H62" s="5">
        <f t="shared" si="22"/>
        <v>4.5999999999999996</v>
      </c>
      <c r="J62" s="2" t="s">
        <v>48</v>
      </c>
      <c r="K62" s="2">
        <f>27-1</f>
        <v>26</v>
      </c>
      <c r="L62" s="10">
        <f>SUMSQ(K42:M50)-R48</f>
        <v>98.980740740740885</v>
      </c>
      <c r="M62" s="18"/>
      <c r="N62" s="18"/>
      <c r="O62" s="18"/>
      <c r="P62" s="6"/>
      <c r="Q62" s="6"/>
    </row>
    <row r="63" spans="1:25" x14ac:dyDescent="0.35">
      <c r="A63" s="1" t="s">
        <v>7</v>
      </c>
      <c r="B63" s="5">
        <v>5</v>
      </c>
      <c r="C63" s="5">
        <v>6</v>
      </c>
      <c r="D63" s="5">
        <v>6</v>
      </c>
      <c r="E63" s="5">
        <v>6</v>
      </c>
      <c r="F63" s="5">
        <v>6</v>
      </c>
      <c r="G63" s="5">
        <f t="shared" si="21"/>
        <v>29</v>
      </c>
      <c r="H63" s="5">
        <f t="shared" si="22"/>
        <v>5.8</v>
      </c>
    </row>
    <row r="64" spans="1:25" x14ac:dyDescent="0.35">
      <c r="A64" s="1" t="s">
        <v>2</v>
      </c>
      <c r="B64" s="5">
        <v>5</v>
      </c>
      <c r="C64" s="5">
        <v>5</v>
      </c>
      <c r="D64" s="5">
        <v>6</v>
      </c>
      <c r="E64" s="5">
        <v>6</v>
      </c>
      <c r="F64" s="5">
        <v>5</v>
      </c>
      <c r="G64" s="5">
        <f t="shared" si="21"/>
        <v>27</v>
      </c>
      <c r="H64" s="5">
        <f t="shared" si="22"/>
        <v>5.4</v>
      </c>
    </row>
    <row r="65" spans="1:8" x14ac:dyDescent="0.35">
      <c r="A65" s="1" t="s">
        <v>5</v>
      </c>
      <c r="B65" s="5">
        <v>6</v>
      </c>
      <c r="C65" s="5">
        <v>7</v>
      </c>
      <c r="D65" s="5">
        <v>7</v>
      </c>
      <c r="E65" s="5">
        <v>5</v>
      </c>
      <c r="F65" s="5">
        <v>6</v>
      </c>
      <c r="G65" s="5">
        <f t="shared" si="21"/>
        <v>31</v>
      </c>
      <c r="H65" s="5">
        <f t="shared" si="22"/>
        <v>6.2</v>
      </c>
    </row>
    <row r="66" spans="1:8" x14ac:dyDescent="0.35">
      <c r="A66" s="1" t="s">
        <v>1</v>
      </c>
      <c r="B66" s="5">
        <v>6</v>
      </c>
      <c r="C66" s="5">
        <v>5</v>
      </c>
      <c r="D66" s="5">
        <v>5</v>
      </c>
      <c r="E66" s="5">
        <v>5</v>
      </c>
      <c r="F66" s="5">
        <v>5</v>
      </c>
      <c r="G66" s="5">
        <f t="shared" si="21"/>
        <v>26</v>
      </c>
      <c r="H66" s="5">
        <f t="shared" si="22"/>
        <v>5.2</v>
      </c>
    </row>
    <row r="68" spans="1:8" x14ac:dyDescent="0.35">
      <c r="A68" s="26" t="s">
        <v>0</v>
      </c>
      <c r="B68" s="27" t="s">
        <v>20</v>
      </c>
      <c r="C68" s="27"/>
      <c r="D68" s="27"/>
      <c r="E68" s="27"/>
      <c r="F68" s="27"/>
      <c r="G68" s="26" t="s">
        <v>12</v>
      </c>
      <c r="H68" s="26" t="s">
        <v>13</v>
      </c>
    </row>
    <row r="69" spans="1:8" x14ac:dyDescent="0.35">
      <c r="A69" s="26"/>
      <c r="B69" s="27" t="s">
        <v>11</v>
      </c>
      <c r="C69" s="27"/>
      <c r="D69" s="27"/>
      <c r="E69" s="27"/>
      <c r="F69" s="27"/>
      <c r="G69" s="26"/>
      <c r="H69" s="26"/>
    </row>
    <row r="70" spans="1:8" x14ac:dyDescent="0.35">
      <c r="A70" s="26"/>
      <c r="B70" s="3">
        <v>1</v>
      </c>
      <c r="C70" s="3">
        <v>2</v>
      </c>
      <c r="D70" s="3">
        <v>3</v>
      </c>
      <c r="E70" s="3">
        <v>4</v>
      </c>
      <c r="F70" s="3">
        <v>5</v>
      </c>
      <c r="G70" s="26"/>
      <c r="H70" s="26"/>
    </row>
    <row r="71" spans="1:8" x14ac:dyDescent="0.35">
      <c r="A71" s="1" t="s">
        <v>7</v>
      </c>
      <c r="B71" s="5">
        <v>5</v>
      </c>
      <c r="C71" s="5">
        <v>5</v>
      </c>
      <c r="D71" s="5">
        <v>5</v>
      </c>
      <c r="E71" s="5">
        <v>5</v>
      </c>
      <c r="F71" s="5">
        <v>5</v>
      </c>
      <c r="G71" s="5">
        <f>SUM(B71:F71)</f>
        <v>25</v>
      </c>
      <c r="H71" s="5">
        <f>AVERAGE(B71:F71)</f>
        <v>5</v>
      </c>
    </row>
    <row r="72" spans="1:8" x14ac:dyDescent="0.35">
      <c r="A72" s="1" t="s">
        <v>9</v>
      </c>
      <c r="B72" s="5">
        <v>6</v>
      </c>
      <c r="C72" s="5">
        <v>7</v>
      </c>
      <c r="D72" s="5">
        <v>6</v>
      </c>
      <c r="E72" s="5">
        <v>7</v>
      </c>
      <c r="F72" s="5">
        <v>7</v>
      </c>
      <c r="G72" s="5">
        <f t="shared" ref="G72:G79" si="23">SUM(B72:F72)</f>
        <v>33</v>
      </c>
      <c r="H72" s="5">
        <f t="shared" ref="H72:H79" si="24">AVERAGE(B72:F72)</f>
        <v>6.6</v>
      </c>
    </row>
    <row r="73" spans="1:8" x14ac:dyDescent="0.35">
      <c r="A73" s="1" t="s">
        <v>6</v>
      </c>
      <c r="B73" s="5">
        <v>7</v>
      </c>
      <c r="C73" s="5">
        <v>6</v>
      </c>
      <c r="D73" s="5">
        <v>5</v>
      </c>
      <c r="E73" s="5">
        <v>5</v>
      </c>
      <c r="F73" s="5">
        <v>5</v>
      </c>
      <c r="G73" s="5">
        <f t="shared" si="23"/>
        <v>28</v>
      </c>
      <c r="H73" s="5">
        <f t="shared" si="24"/>
        <v>5.6</v>
      </c>
    </row>
    <row r="74" spans="1:8" x14ac:dyDescent="0.35">
      <c r="A74" s="1" t="s">
        <v>5</v>
      </c>
      <c r="B74" s="5">
        <v>6</v>
      </c>
      <c r="C74" s="5">
        <v>7</v>
      </c>
      <c r="D74" s="5">
        <v>6</v>
      </c>
      <c r="E74" s="5">
        <v>7</v>
      </c>
      <c r="F74" s="5">
        <v>6</v>
      </c>
      <c r="G74" s="5">
        <f t="shared" si="23"/>
        <v>32</v>
      </c>
      <c r="H74" s="5">
        <f t="shared" si="24"/>
        <v>6.4</v>
      </c>
    </row>
    <row r="75" spans="1:8" x14ac:dyDescent="0.35">
      <c r="A75" s="1" t="s">
        <v>8</v>
      </c>
      <c r="B75" s="5">
        <v>4</v>
      </c>
      <c r="C75" s="5">
        <v>6</v>
      </c>
      <c r="D75" s="5">
        <v>5</v>
      </c>
      <c r="E75" s="5">
        <v>5</v>
      </c>
      <c r="F75" s="5">
        <v>4</v>
      </c>
      <c r="G75" s="5">
        <f t="shared" si="23"/>
        <v>24</v>
      </c>
      <c r="H75" s="5">
        <f t="shared" si="24"/>
        <v>4.8</v>
      </c>
    </row>
    <row r="76" spans="1:8" x14ac:dyDescent="0.35">
      <c r="A76" s="1" t="s">
        <v>2</v>
      </c>
      <c r="B76" s="5">
        <v>7</v>
      </c>
      <c r="C76" s="5">
        <v>5</v>
      </c>
      <c r="D76" s="5">
        <v>5</v>
      </c>
      <c r="E76" s="5">
        <v>6</v>
      </c>
      <c r="F76" s="5">
        <v>5</v>
      </c>
      <c r="G76" s="5">
        <f t="shared" si="23"/>
        <v>28</v>
      </c>
      <c r="H76" s="5">
        <f t="shared" si="24"/>
        <v>5.6</v>
      </c>
    </row>
    <row r="77" spans="1:8" x14ac:dyDescent="0.35">
      <c r="A77" s="1" t="s">
        <v>3</v>
      </c>
      <c r="B77" s="5">
        <v>6</v>
      </c>
      <c r="C77" s="5">
        <v>4</v>
      </c>
      <c r="D77" s="5">
        <v>5</v>
      </c>
      <c r="E77" s="5">
        <v>6</v>
      </c>
      <c r="F77" s="5">
        <v>5</v>
      </c>
      <c r="G77" s="5">
        <f t="shared" si="23"/>
        <v>26</v>
      </c>
      <c r="H77" s="5">
        <f t="shared" si="24"/>
        <v>5.2</v>
      </c>
    </row>
    <row r="78" spans="1:8" x14ac:dyDescent="0.35">
      <c r="A78" s="1" t="s">
        <v>4</v>
      </c>
      <c r="B78" s="5">
        <v>6</v>
      </c>
      <c r="C78" s="5">
        <v>6</v>
      </c>
      <c r="D78" s="5">
        <v>7</v>
      </c>
      <c r="E78" s="5">
        <v>7</v>
      </c>
      <c r="F78" s="5">
        <v>6</v>
      </c>
      <c r="G78" s="5">
        <f t="shared" si="23"/>
        <v>32</v>
      </c>
      <c r="H78" s="5">
        <f t="shared" si="24"/>
        <v>6.4</v>
      </c>
    </row>
    <row r="79" spans="1:8" x14ac:dyDescent="0.35">
      <c r="A79" s="1" t="s">
        <v>1</v>
      </c>
      <c r="B79" s="5">
        <v>5</v>
      </c>
      <c r="C79" s="5">
        <v>6</v>
      </c>
      <c r="D79" s="5">
        <v>5</v>
      </c>
      <c r="E79" s="5">
        <v>5</v>
      </c>
      <c r="F79" s="5">
        <v>5</v>
      </c>
      <c r="G79" s="5">
        <f t="shared" si="23"/>
        <v>26</v>
      </c>
      <c r="H79" s="5">
        <f t="shared" si="24"/>
        <v>5.2</v>
      </c>
    </row>
  </sheetData>
  <sortState xmlns:xlrd2="http://schemas.microsoft.com/office/spreadsheetml/2017/richdata2" ref="X8:AA10">
    <sortCondition ref="Y8:Y10"/>
  </sortState>
  <mergeCells count="34">
    <mergeCell ref="R19:Y19"/>
    <mergeCell ref="R59:Y59"/>
    <mergeCell ref="A1:H1"/>
    <mergeCell ref="A2:A4"/>
    <mergeCell ref="B2:F2"/>
    <mergeCell ref="G2:G4"/>
    <mergeCell ref="H2:H4"/>
    <mergeCell ref="B3:F3"/>
    <mergeCell ref="A28:A30"/>
    <mergeCell ref="B28:F28"/>
    <mergeCell ref="G28:G30"/>
    <mergeCell ref="H28:H30"/>
    <mergeCell ref="B29:F29"/>
    <mergeCell ref="A15:A17"/>
    <mergeCell ref="B15:F15"/>
    <mergeCell ref="G15:G17"/>
    <mergeCell ref="H15:H17"/>
    <mergeCell ref="B16:F16"/>
    <mergeCell ref="A41:H41"/>
    <mergeCell ref="A42:A44"/>
    <mergeCell ref="B42:F42"/>
    <mergeCell ref="G42:G44"/>
    <mergeCell ref="H42:H44"/>
    <mergeCell ref="B43:F43"/>
    <mergeCell ref="A68:A70"/>
    <mergeCell ref="B68:F68"/>
    <mergeCell ref="G68:G70"/>
    <mergeCell ref="H68:H70"/>
    <mergeCell ref="B69:F69"/>
    <mergeCell ref="A55:A57"/>
    <mergeCell ref="B55:F55"/>
    <mergeCell ref="G55:G57"/>
    <mergeCell ref="H55:H57"/>
    <mergeCell ref="B56:F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Keseluruhan</vt:lpstr>
      <vt:lpstr>DIAMETER</vt:lpstr>
      <vt:lpstr>TINGGI</vt:lpstr>
      <vt:lpstr>JUMLAH DAUN</vt:lpstr>
      <vt:lpstr>JUMLAH ANAKAN</vt:lpstr>
    </vt:vector>
  </TitlesOfParts>
  <Company>Multicom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 Yandi Rahman</cp:lastModifiedBy>
  <dcterms:created xsi:type="dcterms:W3CDTF">2023-01-20T08:35:19Z</dcterms:created>
  <dcterms:modified xsi:type="dcterms:W3CDTF">2023-11-08T09:13:13Z</dcterms:modified>
</cp:coreProperties>
</file>