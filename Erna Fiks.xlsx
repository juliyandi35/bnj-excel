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BNJ\"/>
    </mc:Choice>
  </mc:AlternateContent>
  <xr:revisionPtr revIDLastSave="0" documentId="13_ncr:1_{7353614F-CC13-407F-9841-52DE93DD8CA3}" xr6:coauthVersionLast="47" xr6:coauthVersionMax="47" xr10:uidLastSave="{00000000-0000-0000-0000-000000000000}"/>
  <bookViews>
    <workbookView xWindow="9510" yWindow="0" windowWidth="9780" windowHeight="10170" activeTab="8" xr2:uid="{00000000-000D-0000-FFFF-FFFF00000000}"/>
  </bookViews>
  <sheets>
    <sheet name="TT1" sheetId="1" r:id="rId1"/>
    <sheet name="TT2" sheetId="2" r:id="rId2"/>
    <sheet name="TT3" sheetId="3" r:id="rId3"/>
    <sheet name="TT4" sheetId="4" r:id="rId4"/>
    <sheet name="TT5" sheetId="5" r:id="rId5"/>
    <sheet name="JD1" sheetId="7" r:id="rId6"/>
    <sheet name="JD2" sheetId="8" r:id="rId7"/>
    <sheet name="JD3" sheetId="9" r:id="rId8"/>
    <sheet name="JD4" sheetId="10" r:id="rId9"/>
    <sheet name="JD5" sheetId="11" r:id="rId10"/>
    <sheet name="W.M.B " sheetId="12" r:id="rId11"/>
    <sheet name="J.B.P 1" sheetId="13" r:id="rId12"/>
    <sheet name="J.B.P 2" sheetId="14" r:id="rId13"/>
    <sheet name="J.B.P 3" sheetId="15" r:id="rId14"/>
    <sheet name="B.B.P Panen 1" sheetId="16" r:id="rId15"/>
    <sheet name="B.B.P Panen 2" sheetId="17" r:id="rId16"/>
    <sheet name="penen buah ketiga" sheetId="19" r:id="rId17"/>
    <sheet name="salah" sheetId="18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0" l="1"/>
  <c r="K6" i="10"/>
  <c r="C14" i="10" s="1"/>
  <c r="K5" i="10"/>
  <c r="K3" i="10"/>
  <c r="B17" i="10"/>
  <c r="K4" i="16"/>
  <c r="J17" i="17"/>
  <c r="J15" i="17" s="1"/>
  <c r="C9" i="5"/>
  <c r="G4" i="4" l="1"/>
  <c r="F4" i="4"/>
  <c r="G8" i="12" l="1"/>
  <c r="G7" i="12"/>
  <c r="G6" i="12"/>
  <c r="G5" i="12"/>
  <c r="G4" i="12"/>
  <c r="G3" i="12"/>
  <c r="G9" i="12" s="1"/>
  <c r="F3" i="12" l="1"/>
  <c r="B16" i="19"/>
  <c r="B17" i="19" s="1"/>
  <c r="J13" i="19"/>
  <c r="E9" i="19"/>
  <c r="D9" i="19"/>
  <c r="C9" i="19"/>
  <c r="B9" i="19"/>
  <c r="G8" i="19"/>
  <c r="O9" i="19" s="1"/>
  <c r="F8" i="19"/>
  <c r="G7" i="19"/>
  <c r="O8" i="19" s="1"/>
  <c r="F7" i="19"/>
  <c r="G6" i="19"/>
  <c r="O7" i="19" s="1"/>
  <c r="F6" i="19"/>
  <c r="G5" i="19"/>
  <c r="O6" i="19" s="1"/>
  <c r="F5" i="19"/>
  <c r="G4" i="19"/>
  <c r="O5" i="19" s="1"/>
  <c r="F4" i="19"/>
  <c r="G3" i="19"/>
  <c r="O4" i="19" s="1"/>
  <c r="F3" i="19"/>
  <c r="F6" i="16"/>
  <c r="G6" i="16"/>
  <c r="F7" i="16"/>
  <c r="G7" i="16"/>
  <c r="O8" i="16" s="1"/>
  <c r="F8" i="16"/>
  <c r="G8" i="16"/>
  <c r="B16" i="18"/>
  <c r="B17" i="18" s="1"/>
  <c r="J13" i="18"/>
  <c r="E9" i="18"/>
  <c r="D9" i="18"/>
  <c r="C9" i="18"/>
  <c r="B9" i="18"/>
  <c r="G8" i="18"/>
  <c r="O9" i="18" s="1"/>
  <c r="F8" i="18"/>
  <c r="G7" i="18"/>
  <c r="O8" i="18" s="1"/>
  <c r="F7" i="18"/>
  <c r="G6" i="18"/>
  <c r="O7" i="18" s="1"/>
  <c r="F6" i="18"/>
  <c r="G5" i="18"/>
  <c r="O6" i="18" s="1"/>
  <c r="F5" i="18"/>
  <c r="G4" i="18"/>
  <c r="O5" i="18" s="1"/>
  <c r="F4" i="18"/>
  <c r="G3" i="18"/>
  <c r="O4" i="18" s="1"/>
  <c r="F3" i="18"/>
  <c r="B16" i="17"/>
  <c r="B17" i="17" s="1"/>
  <c r="J13" i="17"/>
  <c r="E9" i="17"/>
  <c r="D9" i="17"/>
  <c r="C9" i="17"/>
  <c r="B9" i="17"/>
  <c r="G8" i="17"/>
  <c r="O9" i="17" s="1"/>
  <c r="F8" i="17"/>
  <c r="G7" i="17"/>
  <c r="O8" i="17" s="1"/>
  <c r="F7" i="17"/>
  <c r="G6" i="17"/>
  <c r="O7" i="17" s="1"/>
  <c r="F6" i="17"/>
  <c r="G5" i="17"/>
  <c r="O6" i="17" s="1"/>
  <c r="F5" i="17"/>
  <c r="G4" i="17"/>
  <c r="O5" i="17" s="1"/>
  <c r="F4" i="17"/>
  <c r="G3" i="17"/>
  <c r="O4" i="17" s="1"/>
  <c r="F3" i="17"/>
  <c r="B17" i="16"/>
  <c r="B16" i="16"/>
  <c r="J13" i="16"/>
  <c r="E9" i="16"/>
  <c r="D9" i="16"/>
  <c r="C9" i="16"/>
  <c r="B9" i="16"/>
  <c r="O9" i="16"/>
  <c r="O7" i="16"/>
  <c r="G5" i="16"/>
  <c r="O6" i="16" s="1"/>
  <c r="F5" i="16"/>
  <c r="G4" i="16"/>
  <c r="O5" i="16" s="1"/>
  <c r="F4" i="16"/>
  <c r="G3" i="16"/>
  <c r="O4" i="16" s="1"/>
  <c r="F3" i="16"/>
  <c r="B16" i="15"/>
  <c r="B17" i="15" s="1"/>
  <c r="J13" i="15"/>
  <c r="E9" i="15"/>
  <c r="D9" i="15"/>
  <c r="C9" i="15"/>
  <c r="B9" i="15"/>
  <c r="G8" i="15"/>
  <c r="O9" i="15" s="1"/>
  <c r="F8" i="15"/>
  <c r="G7" i="15"/>
  <c r="O8" i="15" s="1"/>
  <c r="F7" i="15"/>
  <c r="G6" i="15"/>
  <c r="O7" i="15" s="1"/>
  <c r="F6" i="15"/>
  <c r="G5" i="15"/>
  <c r="O6" i="15" s="1"/>
  <c r="F5" i="15"/>
  <c r="G4" i="15"/>
  <c r="O5" i="15" s="1"/>
  <c r="F4" i="15"/>
  <c r="G3" i="15"/>
  <c r="O4" i="15" s="1"/>
  <c r="F3" i="15"/>
  <c r="F9" i="15" s="1"/>
  <c r="K3" i="15" s="1"/>
  <c r="B16" i="14"/>
  <c r="B17" i="14" s="1"/>
  <c r="J13" i="14"/>
  <c r="E9" i="14"/>
  <c r="D9" i="14"/>
  <c r="C9" i="14"/>
  <c r="B9" i="14"/>
  <c r="G8" i="14"/>
  <c r="O9" i="14" s="1"/>
  <c r="F8" i="14"/>
  <c r="G7" i="14"/>
  <c r="O8" i="14" s="1"/>
  <c r="F7" i="14"/>
  <c r="G6" i="14"/>
  <c r="O7" i="14" s="1"/>
  <c r="F6" i="14"/>
  <c r="G5" i="14"/>
  <c r="O6" i="14" s="1"/>
  <c r="F5" i="14"/>
  <c r="G4" i="14"/>
  <c r="O5" i="14" s="1"/>
  <c r="F4" i="14"/>
  <c r="G3" i="14"/>
  <c r="O4" i="14" s="1"/>
  <c r="F3" i="14"/>
  <c r="F3" i="13"/>
  <c r="G3" i="13"/>
  <c r="O4" i="13" s="1"/>
  <c r="F4" i="13"/>
  <c r="G4" i="13"/>
  <c r="F5" i="13"/>
  <c r="G5" i="13"/>
  <c r="O6" i="13" s="1"/>
  <c r="F6" i="13"/>
  <c r="G6" i="13"/>
  <c r="O7" i="13" s="1"/>
  <c r="F7" i="13"/>
  <c r="G7" i="13"/>
  <c r="F8" i="13"/>
  <c r="G8" i="13"/>
  <c r="O9" i="13" s="1"/>
  <c r="O8" i="13"/>
  <c r="B9" i="13"/>
  <c r="C9" i="13"/>
  <c r="D9" i="13"/>
  <c r="E9" i="13"/>
  <c r="J13" i="13"/>
  <c r="B16" i="13"/>
  <c r="B17" i="13" s="1"/>
  <c r="B16" i="12"/>
  <c r="B17" i="12" s="1"/>
  <c r="J13" i="12"/>
  <c r="E9" i="12"/>
  <c r="D9" i="12"/>
  <c r="C9" i="12"/>
  <c r="B9" i="12"/>
  <c r="O9" i="12"/>
  <c r="F8" i="12"/>
  <c r="O8" i="12"/>
  <c r="F7" i="12"/>
  <c r="O7" i="12"/>
  <c r="F6" i="12"/>
  <c r="O6" i="12"/>
  <c r="F5" i="12"/>
  <c r="O5" i="12"/>
  <c r="F4" i="12"/>
  <c r="O4" i="12"/>
  <c r="F9" i="14" l="1"/>
  <c r="K3" i="14" s="1"/>
  <c r="F9" i="16"/>
  <c r="G9" i="16"/>
  <c r="F9" i="19"/>
  <c r="K3" i="19" s="1"/>
  <c r="G9" i="19"/>
  <c r="K6" i="19"/>
  <c r="C14" i="19" s="1"/>
  <c r="D14" i="19" s="1"/>
  <c r="K5" i="19"/>
  <c r="C17" i="19" s="1"/>
  <c r="K4" i="19"/>
  <c r="C15" i="19" s="1"/>
  <c r="D15" i="19" s="1"/>
  <c r="G9" i="13"/>
  <c r="F9" i="17"/>
  <c r="K3" i="17" s="1"/>
  <c r="K6" i="17" s="1"/>
  <c r="C14" i="17" s="1"/>
  <c r="D14" i="17" s="1"/>
  <c r="G9" i="17"/>
  <c r="F9" i="18"/>
  <c r="K3" i="18" s="1"/>
  <c r="K6" i="18" s="1"/>
  <c r="C14" i="18" s="1"/>
  <c r="D14" i="18" s="1"/>
  <c r="G9" i="18"/>
  <c r="K5" i="17"/>
  <c r="C17" i="17" s="1"/>
  <c r="K3" i="16"/>
  <c r="K6" i="16" s="1"/>
  <c r="C14" i="16" s="1"/>
  <c r="D14" i="16" s="1"/>
  <c r="G9" i="15"/>
  <c r="K6" i="15"/>
  <c r="C14" i="15" s="1"/>
  <c r="D14" i="15" s="1"/>
  <c r="K5" i="15"/>
  <c r="C17" i="15" s="1"/>
  <c r="K4" i="15"/>
  <c r="C15" i="15" s="1"/>
  <c r="D15" i="15" s="1"/>
  <c r="G9" i="14"/>
  <c r="K6" i="14"/>
  <c r="C14" i="14" s="1"/>
  <c r="D14" i="14" s="1"/>
  <c r="K5" i="14"/>
  <c r="C17" i="14" s="1"/>
  <c r="K4" i="14"/>
  <c r="C15" i="14" s="1"/>
  <c r="D15" i="14" s="1"/>
  <c r="O5" i="13"/>
  <c r="F9" i="13"/>
  <c r="K3" i="13" s="1"/>
  <c r="K5" i="13" s="1"/>
  <c r="C17" i="13" s="1"/>
  <c r="F9" i="12"/>
  <c r="K3" i="12" s="1"/>
  <c r="C15" i="16" l="1"/>
  <c r="D15" i="16" s="1"/>
  <c r="K6" i="12"/>
  <c r="K4" i="12"/>
  <c r="K5" i="12"/>
  <c r="C17" i="12" s="1"/>
  <c r="C16" i="19"/>
  <c r="D16" i="19" s="1"/>
  <c r="E14" i="19" s="1"/>
  <c r="K4" i="18"/>
  <c r="C15" i="18" s="1"/>
  <c r="D15" i="18" s="1"/>
  <c r="K5" i="18"/>
  <c r="C17" i="18" s="1"/>
  <c r="K4" i="17"/>
  <c r="C15" i="17" s="1"/>
  <c r="D15" i="17" s="1"/>
  <c r="K5" i="16"/>
  <c r="C17" i="16" s="1"/>
  <c r="C16" i="15"/>
  <c r="D16" i="15" s="1"/>
  <c r="E14" i="15" s="1"/>
  <c r="C16" i="14"/>
  <c r="D16" i="14" s="1"/>
  <c r="E14" i="14" s="1"/>
  <c r="K4" i="13"/>
  <c r="C15" i="13" s="1"/>
  <c r="D15" i="13" s="1"/>
  <c r="K6" i="13"/>
  <c r="C14" i="13" s="1"/>
  <c r="D14" i="13" s="1"/>
  <c r="C16" i="16" l="1"/>
  <c r="D16" i="16" s="1"/>
  <c r="E15" i="16" s="1"/>
  <c r="C14" i="12"/>
  <c r="D14" i="12" s="1"/>
  <c r="C15" i="12"/>
  <c r="D15" i="12" s="1"/>
  <c r="J17" i="19"/>
  <c r="J15" i="19" s="1"/>
  <c r="K7" i="19"/>
  <c r="E15" i="19"/>
  <c r="C16" i="13"/>
  <c r="D16" i="13" s="1"/>
  <c r="E15" i="13" s="1"/>
  <c r="C16" i="18"/>
  <c r="D16" i="18" s="1"/>
  <c r="E14" i="18" s="1"/>
  <c r="C16" i="17"/>
  <c r="D16" i="17" s="1"/>
  <c r="E15" i="17" s="1"/>
  <c r="J17" i="15"/>
  <c r="J15" i="15" s="1"/>
  <c r="K7" i="15"/>
  <c r="E15" i="15"/>
  <c r="J17" i="14"/>
  <c r="J15" i="14" s="1"/>
  <c r="K7" i="14"/>
  <c r="E15" i="14"/>
  <c r="K7" i="16" l="1"/>
  <c r="J17" i="16"/>
  <c r="J15" i="16" s="1"/>
  <c r="E14" i="16"/>
  <c r="K7" i="17"/>
  <c r="C16" i="12"/>
  <c r="D16" i="12" s="1"/>
  <c r="K7" i="12" s="1"/>
  <c r="K7" i="13"/>
  <c r="E14" i="13"/>
  <c r="J17" i="13"/>
  <c r="J15" i="13" s="1"/>
  <c r="E15" i="18"/>
  <c r="K7" i="18"/>
  <c r="J17" i="18"/>
  <c r="J15" i="18" s="1"/>
  <c r="E14" i="17"/>
  <c r="B16" i="11"/>
  <c r="B17" i="11" s="1"/>
  <c r="J13" i="11"/>
  <c r="E9" i="11"/>
  <c r="D9" i="11"/>
  <c r="C9" i="11"/>
  <c r="B9" i="11"/>
  <c r="G8" i="11"/>
  <c r="O9" i="11" s="1"/>
  <c r="F8" i="11"/>
  <c r="G7" i="11"/>
  <c r="O8" i="11" s="1"/>
  <c r="F7" i="11"/>
  <c r="G6" i="11"/>
  <c r="O7" i="11" s="1"/>
  <c r="F6" i="11"/>
  <c r="G5" i="11"/>
  <c r="O6" i="11" s="1"/>
  <c r="F5" i="11"/>
  <c r="G4" i="11"/>
  <c r="O5" i="11" s="1"/>
  <c r="F4" i="11"/>
  <c r="G3" i="11"/>
  <c r="O4" i="11" s="1"/>
  <c r="F3" i="11"/>
  <c r="B16" i="10"/>
  <c r="J13" i="10"/>
  <c r="E9" i="10"/>
  <c r="D9" i="10"/>
  <c r="C9" i="10"/>
  <c r="B9" i="10"/>
  <c r="G8" i="10"/>
  <c r="O9" i="10" s="1"/>
  <c r="F8" i="10"/>
  <c r="G7" i="10"/>
  <c r="O8" i="10" s="1"/>
  <c r="F7" i="10"/>
  <c r="G6" i="10"/>
  <c r="O7" i="10" s="1"/>
  <c r="F6" i="10"/>
  <c r="G5" i="10"/>
  <c r="O6" i="10" s="1"/>
  <c r="F5" i="10"/>
  <c r="G4" i="10"/>
  <c r="O5" i="10" s="1"/>
  <c r="F4" i="10"/>
  <c r="G3" i="10"/>
  <c r="O4" i="10" s="1"/>
  <c r="F3" i="10"/>
  <c r="G7" i="9"/>
  <c r="O8" i="9" s="1"/>
  <c r="B16" i="9"/>
  <c r="B17" i="9" s="1"/>
  <c r="J13" i="9"/>
  <c r="E9" i="9"/>
  <c r="D9" i="9"/>
  <c r="C9" i="9"/>
  <c r="B9" i="9"/>
  <c r="G8" i="9"/>
  <c r="O9" i="9" s="1"/>
  <c r="F8" i="9"/>
  <c r="F7" i="9"/>
  <c r="G6" i="9"/>
  <c r="O7" i="9" s="1"/>
  <c r="F6" i="9"/>
  <c r="G5" i="9"/>
  <c r="O6" i="9" s="1"/>
  <c r="F5" i="9"/>
  <c r="G4" i="9"/>
  <c r="O5" i="9" s="1"/>
  <c r="F4" i="9"/>
  <c r="G3" i="9"/>
  <c r="O4" i="9" s="1"/>
  <c r="F3" i="9"/>
  <c r="B16" i="8"/>
  <c r="B17" i="8" s="1"/>
  <c r="J13" i="8"/>
  <c r="E9" i="8"/>
  <c r="D9" i="8"/>
  <c r="C9" i="8"/>
  <c r="B9" i="8"/>
  <c r="G8" i="8"/>
  <c r="O9" i="8" s="1"/>
  <c r="F8" i="8"/>
  <c r="G7" i="8"/>
  <c r="O8" i="8" s="1"/>
  <c r="F7" i="8"/>
  <c r="G6" i="8"/>
  <c r="O7" i="8" s="1"/>
  <c r="F6" i="8"/>
  <c r="G5" i="8"/>
  <c r="O6" i="8" s="1"/>
  <c r="F5" i="8"/>
  <c r="G4" i="8"/>
  <c r="O5" i="8" s="1"/>
  <c r="F4" i="8"/>
  <c r="G3" i="8"/>
  <c r="O4" i="8" s="1"/>
  <c r="F3" i="8"/>
  <c r="B16" i="7"/>
  <c r="B17" i="7" s="1"/>
  <c r="J13" i="7"/>
  <c r="E9" i="7"/>
  <c r="D9" i="7"/>
  <c r="C9" i="7"/>
  <c r="B9" i="7"/>
  <c r="G8" i="7"/>
  <c r="O9" i="7" s="1"/>
  <c r="F8" i="7"/>
  <c r="G7" i="7"/>
  <c r="O8" i="7" s="1"/>
  <c r="F7" i="7"/>
  <c r="G6" i="7"/>
  <c r="O7" i="7" s="1"/>
  <c r="F6" i="7"/>
  <c r="G5" i="7"/>
  <c r="O6" i="7" s="1"/>
  <c r="F5" i="7"/>
  <c r="G4" i="7"/>
  <c r="O5" i="7" s="1"/>
  <c r="F4" i="7"/>
  <c r="G3" i="7"/>
  <c r="O4" i="7" s="1"/>
  <c r="F3" i="7"/>
  <c r="B16" i="5"/>
  <c r="B17" i="5" s="1"/>
  <c r="J13" i="5"/>
  <c r="E9" i="5"/>
  <c r="D9" i="5"/>
  <c r="B9" i="5"/>
  <c r="G8" i="5"/>
  <c r="O9" i="5" s="1"/>
  <c r="F8" i="5"/>
  <c r="G7" i="5"/>
  <c r="O8" i="5" s="1"/>
  <c r="F7" i="5"/>
  <c r="G6" i="5"/>
  <c r="O7" i="5" s="1"/>
  <c r="F6" i="5"/>
  <c r="G5" i="5"/>
  <c r="O6" i="5" s="1"/>
  <c r="F5" i="5"/>
  <c r="G4" i="5"/>
  <c r="O5" i="5" s="1"/>
  <c r="F4" i="5"/>
  <c r="G3" i="5"/>
  <c r="O4" i="5" s="1"/>
  <c r="F3" i="5"/>
  <c r="B16" i="4"/>
  <c r="B17" i="4" s="1"/>
  <c r="J13" i="4"/>
  <c r="E9" i="4"/>
  <c r="D9" i="4"/>
  <c r="C9" i="4"/>
  <c r="B9" i="4"/>
  <c r="G8" i="4"/>
  <c r="O9" i="4" s="1"/>
  <c r="F8" i="4"/>
  <c r="G7" i="4"/>
  <c r="O8" i="4" s="1"/>
  <c r="F7" i="4"/>
  <c r="G6" i="4"/>
  <c r="O7" i="4" s="1"/>
  <c r="F6" i="4"/>
  <c r="G5" i="4"/>
  <c r="O6" i="4" s="1"/>
  <c r="F5" i="4"/>
  <c r="O5" i="4"/>
  <c r="G3" i="4"/>
  <c r="O4" i="4" s="1"/>
  <c r="F3" i="4"/>
  <c r="F9" i="11" l="1"/>
  <c r="K3" i="11" s="1"/>
  <c r="E14" i="12"/>
  <c r="J17" i="12"/>
  <c r="J15" i="12" s="1"/>
  <c r="E15" i="12"/>
  <c r="Q5" i="5"/>
  <c r="Q7" i="5"/>
  <c r="Q6" i="5"/>
  <c r="G9" i="11"/>
  <c r="K6" i="11"/>
  <c r="C14" i="11" s="1"/>
  <c r="D14" i="11" s="1"/>
  <c r="K5" i="11"/>
  <c r="C17" i="11" s="1"/>
  <c r="K4" i="11"/>
  <c r="C15" i="11" s="1"/>
  <c r="D15" i="11" s="1"/>
  <c r="F9" i="10"/>
  <c r="D14" i="10" s="1"/>
  <c r="G9" i="10"/>
  <c r="F9" i="9"/>
  <c r="K3" i="9" s="1"/>
  <c r="K6" i="9" s="1"/>
  <c r="C14" i="9" s="1"/>
  <c r="D14" i="9" s="1"/>
  <c r="G9" i="9"/>
  <c r="F9" i="8"/>
  <c r="K3" i="8" s="1"/>
  <c r="K6" i="8" s="1"/>
  <c r="C14" i="8" s="1"/>
  <c r="D14" i="8" s="1"/>
  <c r="G9" i="8"/>
  <c r="G9" i="7"/>
  <c r="F9" i="7"/>
  <c r="K3" i="7" s="1"/>
  <c r="K6" i="7" s="1"/>
  <c r="C14" i="7" s="1"/>
  <c r="D14" i="7" s="1"/>
  <c r="F9" i="5"/>
  <c r="K3" i="5" s="1"/>
  <c r="K6" i="5" s="1"/>
  <c r="C14" i="5" s="1"/>
  <c r="D14" i="5" s="1"/>
  <c r="G9" i="5"/>
  <c r="F9" i="4"/>
  <c r="K3" i="4" s="1"/>
  <c r="K4" i="4" s="1"/>
  <c r="C15" i="4" s="1"/>
  <c r="D15" i="4" s="1"/>
  <c r="G9" i="4"/>
  <c r="B16" i="3"/>
  <c r="B17" i="3" s="1"/>
  <c r="J13" i="3"/>
  <c r="E9" i="3"/>
  <c r="D9" i="3"/>
  <c r="C9" i="3"/>
  <c r="B9" i="3"/>
  <c r="G8" i="3"/>
  <c r="O9" i="3" s="1"/>
  <c r="F8" i="3"/>
  <c r="G7" i="3"/>
  <c r="O8" i="3" s="1"/>
  <c r="F7" i="3"/>
  <c r="G6" i="3"/>
  <c r="O7" i="3" s="1"/>
  <c r="F6" i="3"/>
  <c r="G5" i="3"/>
  <c r="O6" i="3" s="1"/>
  <c r="F5" i="3"/>
  <c r="G4" i="3"/>
  <c r="O5" i="3" s="1"/>
  <c r="F4" i="3"/>
  <c r="G3" i="3"/>
  <c r="O4" i="3" s="1"/>
  <c r="F3" i="3"/>
  <c r="E9" i="2"/>
  <c r="D9" i="2"/>
  <c r="C9" i="2"/>
  <c r="B9" i="2"/>
  <c r="B16" i="2"/>
  <c r="B17" i="2" s="1"/>
  <c r="J13" i="2"/>
  <c r="G8" i="2"/>
  <c r="O9" i="2" s="1"/>
  <c r="F8" i="2"/>
  <c r="G7" i="2"/>
  <c r="O8" i="2" s="1"/>
  <c r="F7" i="2"/>
  <c r="G6" i="2"/>
  <c r="O7" i="2" s="1"/>
  <c r="F6" i="2"/>
  <c r="G5" i="2"/>
  <c r="O6" i="2" s="1"/>
  <c r="F5" i="2"/>
  <c r="G4" i="2"/>
  <c r="O5" i="2" s="1"/>
  <c r="F4" i="2"/>
  <c r="G3" i="2"/>
  <c r="O4" i="2" s="1"/>
  <c r="F3" i="2"/>
  <c r="E9" i="1"/>
  <c r="D9" i="1"/>
  <c r="B9" i="1"/>
  <c r="C9" i="1"/>
  <c r="G8" i="1"/>
  <c r="O9" i="1" s="1"/>
  <c r="F8" i="1"/>
  <c r="F7" i="1"/>
  <c r="B16" i="1"/>
  <c r="J13" i="1"/>
  <c r="G7" i="1"/>
  <c r="O8" i="1" s="1"/>
  <c r="G6" i="1"/>
  <c r="O7" i="1" s="1"/>
  <c r="F6" i="1"/>
  <c r="G5" i="1"/>
  <c r="O6" i="1" s="1"/>
  <c r="F5" i="1"/>
  <c r="G4" i="1"/>
  <c r="O5" i="1" s="1"/>
  <c r="F4" i="1"/>
  <c r="G3" i="1"/>
  <c r="O4" i="1" s="1"/>
  <c r="F3" i="1"/>
  <c r="K4" i="8" l="1"/>
  <c r="C15" i="8" s="1"/>
  <c r="D15" i="8" s="1"/>
  <c r="C16" i="11"/>
  <c r="D16" i="11" s="1"/>
  <c r="E14" i="11" s="1"/>
  <c r="K4" i="10"/>
  <c r="C15" i="10" s="1"/>
  <c r="D15" i="10" s="1"/>
  <c r="C17" i="10"/>
  <c r="K4" i="9"/>
  <c r="C15" i="9" s="1"/>
  <c r="D15" i="9" s="1"/>
  <c r="K5" i="9"/>
  <c r="C17" i="9" s="1"/>
  <c r="K5" i="8"/>
  <c r="C17" i="8" s="1"/>
  <c r="K4" i="7"/>
  <c r="C15" i="7" s="1"/>
  <c r="D15" i="7" s="1"/>
  <c r="K5" i="7"/>
  <c r="C17" i="7" s="1"/>
  <c r="K5" i="4"/>
  <c r="C17" i="4" s="1"/>
  <c r="C16" i="4" s="1"/>
  <c r="D16" i="4" s="1"/>
  <c r="E15" i="4" s="1"/>
  <c r="K6" i="4"/>
  <c r="C14" i="4" s="1"/>
  <c r="D14" i="4" s="1"/>
  <c r="K4" i="5"/>
  <c r="C15" i="5" s="1"/>
  <c r="D15" i="5" s="1"/>
  <c r="K5" i="5"/>
  <c r="C17" i="5" s="1"/>
  <c r="F9" i="3"/>
  <c r="K3" i="3" s="1"/>
  <c r="K5" i="3" s="1"/>
  <c r="C17" i="3" s="1"/>
  <c r="G9" i="3"/>
  <c r="F9" i="2"/>
  <c r="K3" i="2" s="1"/>
  <c r="K6" i="2" s="1"/>
  <c r="C14" i="2" s="1"/>
  <c r="D14" i="2" s="1"/>
  <c r="G9" i="2"/>
  <c r="F9" i="1"/>
  <c r="K3" i="1" s="1"/>
  <c r="K6" i="1" s="1"/>
  <c r="C14" i="1" s="1"/>
  <c r="D14" i="1" s="1"/>
  <c r="G9" i="1"/>
  <c r="B17" i="1"/>
  <c r="C16" i="9" l="1"/>
  <c r="D16" i="9" s="1"/>
  <c r="E14" i="9" s="1"/>
  <c r="C16" i="8"/>
  <c r="D16" i="8" s="1"/>
  <c r="J17" i="8" s="1"/>
  <c r="J15" i="8" s="1"/>
  <c r="J17" i="11"/>
  <c r="J15" i="11" s="1"/>
  <c r="K7" i="11"/>
  <c r="E15" i="11"/>
  <c r="C16" i="10"/>
  <c r="D16" i="10" s="1"/>
  <c r="E15" i="10" s="1"/>
  <c r="E14" i="8"/>
  <c r="C16" i="7"/>
  <c r="D16" i="7" s="1"/>
  <c r="K7" i="7" s="1"/>
  <c r="E14" i="4"/>
  <c r="C16" i="5"/>
  <c r="D16" i="5" s="1"/>
  <c r="E14" i="5" s="1"/>
  <c r="K7" i="4"/>
  <c r="J17" i="4"/>
  <c r="J15" i="4" s="1"/>
  <c r="K6" i="3"/>
  <c r="C14" i="3" s="1"/>
  <c r="D14" i="3" s="1"/>
  <c r="K4" i="3"/>
  <c r="C15" i="3" s="1"/>
  <c r="D15" i="3" s="1"/>
  <c r="K4" i="2"/>
  <c r="C15" i="2" s="1"/>
  <c r="D15" i="2" s="1"/>
  <c r="K5" i="2"/>
  <c r="C17" i="2" s="1"/>
  <c r="K4" i="1"/>
  <c r="C15" i="1" s="1"/>
  <c r="D15" i="1" s="1"/>
  <c r="K5" i="1"/>
  <c r="C17" i="1" s="1"/>
  <c r="E15" i="8" l="1"/>
  <c r="C16" i="1"/>
  <c r="D16" i="1" s="1"/>
  <c r="E14" i="1" s="1"/>
  <c r="J17" i="9"/>
  <c r="J15" i="9" s="1"/>
  <c r="E15" i="9"/>
  <c r="K7" i="9"/>
  <c r="J17" i="7"/>
  <c r="J15" i="7" s="1"/>
  <c r="K7" i="8"/>
  <c r="J17" i="10"/>
  <c r="J15" i="10" s="1"/>
  <c r="E14" i="10"/>
  <c r="E14" i="7"/>
  <c r="E15" i="7"/>
  <c r="E15" i="5"/>
  <c r="K7" i="5"/>
  <c r="J17" i="5"/>
  <c r="J15" i="5" s="1"/>
  <c r="O10" i="5" s="1"/>
  <c r="C16" i="3"/>
  <c r="D16" i="3" s="1"/>
  <c r="E15" i="3" s="1"/>
  <c r="C16" i="2"/>
  <c r="D16" i="2" s="1"/>
  <c r="E14" i="2" s="1"/>
  <c r="J17" i="1"/>
  <c r="J15" i="1" s="1"/>
  <c r="K7" i="1"/>
  <c r="E15" i="1" l="1"/>
  <c r="J17" i="3"/>
  <c r="J15" i="3" s="1"/>
  <c r="K7" i="3"/>
  <c r="E14" i="3"/>
  <c r="J17" i="2"/>
  <c r="J15" i="2" s="1"/>
  <c r="E15" i="2"/>
  <c r="K7" i="2"/>
</calcChain>
</file>

<file path=xl/sharedStrings.xml><?xml version="1.0" encoding="utf-8"?>
<sst xmlns="http://schemas.openxmlformats.org/spreadsheetml/2006/main" count="843" uniqueCount="34">
  <si>
    <t>Perlakuan</t>
  </si>
  <si>
    <t>Ulangan</t>
  </si>
  <si>
    <t>Total</t>
  </si>
  <si>
    <t>Rata-rata</t>
  </si>
  <si>
    <t>P0</t>
  </si>
  <si>
    <t>FK</t>
  </si>
  <si>
    <t>P1</t>
  </si>
  <si>
    <t>JK Perlakuan</t>
  </si>
  <si>
    <t>P2</t>
  </si>
  <si>
    <t>JK Total</t>
  </si>
  <si>
    <t>P3</t>
  </si>
  <si>
    <t>JK Kelompok</t>
  </si>
  <si>
    <t>P4</t>
  </si>
  <si>
    <t>KK</t>
  </si>
  <si>
    <t>SK</t>
  </si>
  <si>
    <t>DB</t>
  </si>
  <si>
    <t>JK</t>
  </si>
  <si>
    <t>KT</t>
  </si>
  <si>
    <t>F-Hit</t>
  </si>
  <si>
    <t>Kelompok</t>
  </si>
  <si>
    <t>tn</t>
  </si>
  <si>
    <t>**</t>
  </si>
  <si>
    <t>BNJ</t>
  </si>
  <si>
    <t>Galat</t>
  </si>
  <si>
    <t>Alfa</t>
  </si>
  <si>
    <t>KTG</t>
  </si>
  <si>
    <t>F Tabel</t>
  </si>
  <si>
    <t>P5</t>
  </si>
  <si>
    <t>*</t>
  </si>
  <si>
    <t>a</t>
  </si>
  <si>
    <t>b</t>
  </si>
  <si>
    <t>c</t>
  </si>
  <si>
    <t>Tinggi Tanaman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</si>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</sst>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i/>
      <sz val="12"/>
      <name val="Times New Roman"/>
      <family val="1"/>
    </font>
    <font>
      <sz val="12"/>
      <color rgb="FF000000"/>
      <name val="Times New Roman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2" fontId="4" fillId="0" borderId="4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 shrinkToFi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2" fontId="2" fillId="3" borderId="0" xfId="0" applyNumberFormat="1" applyFont="1" applyFill="1" applyAlignment="1">
      <alignment horizontal="center" vertical="center"/>
    </xf>
    <xf numFmtId="0" fontId="4" fillId="0" borderId="3" xfId="0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10" fontId="3" fillId="0" borderId="0" xfId="1" applyNumberFormat="1" applyFont="1" applyFill="1" applyBorder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2" fillId="0" borderId="2" xfId="0" applyNumberFormat="1" applyFont="1" applyBorder="1"/>
    <xf numFmtId="0" fontId="2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0" fillId="0" borderId="6" xfId="0" applyBorder="1"/>
    <xf numFmtId="2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4" fillId="0" borderId="10" xfId="0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2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2" fontId="9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>
      <selection activeCell="G13" sqref="G13"/>
    </sheetView>
  </sheetViews>
  <sheetFormatPr defaultRowHeight="14.5" x14ac:dyDescent="0.35"/>
  <cols>
    <col min="1" max="1" width="13.26953125" customWidth="1"/>
    <col min="9" max="9" width="11.5429687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69"/>
      <c r="G2" s="69"/>
      <c r="H2" s="17"/>
      <c r="I2" s="7"/>
      <c r="J2" s="3"/>
      <c r="K2" s="4"/>
    </row>
    <row r="3" spans="1:16" ht="15.5" x14ac:dyDescent="0.35">
      <c r="A3" s="8" t="s">
        <v>4</v>
      </c>
      <c r="B3" s="30">
        <v>14.5</v>
      </c>
      <c r="C3" s="30">
        <v>18.75</v>
      </c>
      <c r="D3" s="30">
        <v>15.25</v>
      </c>
      <c r="E3" s="30">
        <v>11.75</v>
      </c>
      <c r="F3" s="9">
        <f t="shared" ref="F3:F8" si="0">SUM(B3:E3)</f>
        <v>60.25</v>
      </c>
      <c r="G3" s="9">
        <f t="shared" ref="G3:G8" si="1">AVERAGE(B3:E3)</f>
        <v>15.0625</v>
      </c>
      <c r="H3" s="9"/>
      <c r="I3" s="7"/>
      <c r="J3" s="3" t="s">
        <v>5</v>
      </c>
      <c r="K3" s="4">
        <f>F9^2/J13</f>
        <v>6921.048066666669</v>
      </c>
    </row>
    <row r="4" spans="1:16" ht="15.5" x14ac:dyDescent="0.35">
      <c r="A4" s="8" t="s">
        <v>6</v>
      </c>
      <c r="B4" s="30">
        <v>16.25</v>
      </c>
      <c r="C4" s="30">
        <v>18.5</v>
      </c>
      <c r="D4" s="30">
        <v>17.010000000000002</v>
      </c>
      <c r="E4" s="30">
        <v>12</v>
      </c>
      <c r="F4" s="9">
        <f t="shared" si="0"/>
        <v>63.760000000000005</v>
      </c>
      <c r="G4" s="9">
        <f t="shared" si="1"/>
        <v>15.940000000000001</v>
      </c>
      <c r="H4" s="9"/>
      <c r="I4" s="7"/>
      <c r="J4" s="10" t="s">
        <v>7</v>
      </c>
      <c r="K4" s="9">
        <f>SUMSQ(F3:F8)/J12-K3</f>
        <v>47.488633333331563</v>
      </c>
      <c r="N4" s="8" t="s">
        <v>4</v>
      </c>
      <c r="O4" s="11">
        <f>G3</f>
        <v>15.0625</v>
      </c>
      <c r="P4" t="s">
        <v>29</v>
      </c>
    </row>
    <row r="5" spans="1:16" ht="15.5" x14ac:dyDescent="0.35">
      <c r="A5" s="8" t="s">
        <v>8</v>
      </c>
      <c r="B5" s="30">
        <v>14.56</v>
      </c>
      <c r="C5" s="30">
        <v>19.41</v>
      </c>
      <c r="D5" s="30">
        <v>17.25</v>
      </c>
      <c r="E5" s="30">
        <v>15.02</v>
      </c>
      <c r="F5" s="9">
        <f t="shared" si="0"/>
        <v>66.239999999999995</v>
      </c>
      <c r="G5" s="9">
        <f t="shared" si="1"/>
        <v>16.559999999999999</v>
      </c>
      <c r="H5" s="9"/>
      <c r="I5" s="7"/>
      <c r="J5" s="3" t="s">
        <v>9</v>
      </c>
      <c r="K5" s="12">
        <f>SUMSQ(B3:E8)-K3</f>
        <v>217.46073333333061</v>
      </c>
      <c r="N5" s="8" t="s">
        <v>6</v>
      </c>
      <c r="O5" s="11">
        <f t="shared" ref="O5:O9" si="2">G4</f>
        <v>15.940000000000001</v>
      </c>
      <c r="P5" s="18" t="s">
        <v>29</v>
      </c>
    </row>
    <row r="6" spans="1:16" ht="15.5" x14ac:dyDescent="0.35">
      <c r="A6" s="8" t="s">
        <v>10</v>
      </c>
      <c r="B6" s="30">
        <v>18.75</v>
      </c>
      <c r="C6" s="30">
        <v>21.25</v>
      </c>
      <c r="D6" s="30">
        <v>16</v>
      </c>
      <c r="E6" s="30">
        <v>11.21</v>
      </c>
      <c r="F6" s="9">
        <f t="shared" si="0"/>
        <v>67.210000000000008</v>
      </c>
      <c r="G6" s="9">
        <f t="shared" si="1"/>
        <v>16.802500000000002</v>
      </c>
      <c r="H6" s="9"/>
      <c r="I6" s="7"/>
      <c r="J6" s="3" t="s">
        <v>11</v>
      </c>
      <c r="K6" s="12">
        <f>SUMSQ(B9:E9)/J11-K3</f>
        <v>125.36763333333147</v>
      </c>
      <c r="N6" s="8" t="s">
        <v>8</v>
      </c>
      <c r="O6" s="11">
        <f t="shared" si="2"/>
        <v>16.559999999999999</v>
      </c>
      <c r="P6" s="18" t="s">
        <v>29</v>
      </c>
    </row>
    <row r="7" spans="1:16" ht="15.5" x14ac:dyDescent="0.35">
      <c r="A7" s="8" t="s">
        <v>12</v>
      </c>
      <c r="B7" s="30">
        <v>20.7</v>
      </c>
      <c r="C7" s="30">
        <v>22</v>
      </c>
      <c r="D7" s="30">
        <v>14.25</v>
      </c>
      <c r="E7" s="30">
        <v>16</v>
      </c>
      <c r="F7" s="9">
        <f t="shared" si="0"/>
        <v>72.95</v>
      </c>
      <c r="G7" s="9">
        <f t="shared" si="1"/>
        <v>18.237500000000001</v>
      </c>
      <c r="H7" s="9"/>
      <c r="I7" s="7"/>
      <c r="J7" s="3" t="s">
        <v>13</v>
      </c>
      <c r="K7" s="12">
        <f>SQRT(D16)/G9*100</f>
        <v>19.822703211036448</v>
      </c>
      <c r="N7" s="8" t="s">
        <v>10</v>
      </c>
      <c r="O7" s="11">
        <f t="shared" si="2"/>
        <v>16.802500000000002</v>
      </c>
      <c r="P7" t="s">
        <v>29</v>
      </c>
    </row>
    <row r="8" spans="1:16" ht="15.5" x14ac:dyDescent="0.35">
      <c r="A8" s="8" t="s">
        <v>27</v>
      </c>
      <c r="B8" s="30">
        <v>19.7</v>
      </c>
      <c r="C8" s="30">
        <v>21.6</v>
      </c>
      <c r="D8" s="30">
        <v>18.600000000000001</v>
      </c>
      <c r="E8" s="30">
        <v>17.25</v>
      </c>
      <c r="F8" s="9">
        <f t="shared" si="0"/>
        <v>77.150000000000006</v>
      </c>
      <c r="G8" s="9">
        <f t="shared" si="1"/>
        <v>19.287500000000001</v>
      </c>
      <c r="H8" s="9"/>
      <c r="I8" s="7"/>
      <c r="J8" s="3"/>
      <c r="K8" s="12"/>
      <c r="N8" s="8" t="s">
        <v>12</v>
      </c>
      <c r="O8" s="11">
        <f t="shared" si="2"/>
        <v>18.237500000000001</v>
      </c>
      <c r="P8" s="18" t="s">
        <v>29</v>
      </c>
    </row>
    <row r="9" spans="1:16" ht="15.5" x14ac:dyDescent="0.35">
      <c r="A9" s="61" t="s">
        <v>2</v>
      </c>
      <c r="B9" s="62">
        <f>SUM(B3:B8)</f>
        <v>104.46000000000001</v>
      </c>
      <c r="C9" s="62">
        <f>SUM(C3:C8)</f>
        <v>121.50999999999999</v>
      </c>
      <c r="D9" s="62">
        <f>SUM(D3:D8)</f>
        <v>98.360000000000014</v>
      </c>
      <c r="E9" s="62">
        <f>SUM(E3:E8)</f>
        <v>83.22999999999999</v>
      </c>
      <c r="F9" s="62">
        <f>SUM(F3:F8)</f>
        <v>407.56000000000006</v>
      </c>
      <c r="G9" s="62">
        <f>AVERAGE(G3:G8)</f>
        <v>16.981666666666669</v>
      </c>
      <c r="H9" s="29"/>
      <c r="J9" s="3"/>
      <c r="K9" s="14"/>
      <c r="N9" s="8" t="s">
        <v>27</v>
      </c>
      <c r="O9" s="11">
        <f t="shared" si="2"/>
        <v>19.287500000000001</v>
      </c>
      <c r="P9" s="18" t="s">
        <v>30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O11" s="18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68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</row>
    <row r="13" spans="1:16" ht="15.5" x14ac:dyDescent="0.35">
      <c r="A13" s="69"/>
      <c r="B13" s="69"/>
      <c r="C13" s="69"/>
      <c r="D13" s="69"/>
      <c r="E13" s="69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</row>
    <row r="14" spans="1:16" ht="15.5" x14ac:dyDescent="0.35">
      <c r="A14" s="21" t="s">
        <v>19</v>
      </c>
      <c r="B14" s="21">
        <v>3</v>
      </c>
      <c r="C14" s="9">
        <f>+K6</f>
        <v>125.36763333333147</v>
      </c>
      <c r="D14" s="9">
        <f>C14/B14</f>
        <v>41.78921111111049</v>
      </c>
      <c r="E14" s="9">
        <f>D14/D16</f>
        <v>3.6878885809298168</v>
      </c>
      <c r="F14" s="9">
        <v>3.29</v>
      </c>
      <c r="G14" s="9">
        <v>5.42</v>
      </c>
      <c r="H14" s="22" t="s">
        <v>28</v>
      </c>
      <c r="K14" s="23"/>
    </row>
    <row r="15" spans="1:16" ht="15.5" x14ac:dyDescent="0.35">
      <c r="A15" s="21" t="s">
        <v>0</v>
      </c>
      <c r="B15" s="21">
        <v>5</v>
      </c>
      <c r="C15" s="9">
        <f>+K4</f>
        <v>47.488633333331563</v>
      </c>
      <c r="D15" s="9">
        <f>C15/B15</f>
        <v>9.4977266666663134</v>
      </c>
      <c r="E15" s="9">
        <f>D15/D16</f>
        <v>0.83817226474224593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3.8711591911639651</v>
      </c>
      <c r="K15" s="23"/>
    </row>
    <row r="16" spans="1:16" ht="15.5" x14ac:dyDescent="0.35">
      <c r="A16" s="26" t="s">
        <v>23</v>
      </c>
      <c r="B16" s="26">
        <f>B14*B15</f>
        <v>15</v>
      </c>
      <c r="C16" s="27">
        <f>C17-C15</f>
        <v>169.97209999999905</v>
      </c>
      <c r="D16" s="27">
        <f>C16/B16</f>
        <v>11.331473333333269</v>
      </c>
      <c r="E16" s="9"/>
      <c r="F16" s="9"/>
      <c r="G16" s="28"/>
      <c r="H16" s="28"/>
      <c r="I16" s="24" t="s">
        <v>24</v>
      </c>
      <c r="J16" s="25">
        <v>4.5999999999999996</v>
      </c>
      <c r="K16" s="23"/>
    </row>
    <row r="17" spans="1:10" ht="15.5" x14ac:dyDescent="0.35">
      <c r="A17" s="26" t="s">
        <v>2</v>
      </c>
      <c r="B17" s="26">
        <f>SUM(B14:B16)</f>
        <v>23</v>
      </c>
      <c r="C17" s="27">
        <f>+K5</f>
        <v>217.46073333333061</v>
      </c>
      <c r="D17" s="27"/>
      <c r="E17" s="35"/>
      <c r="F17" s="32"/>
      <c r="G17" s="36"/>
      <c r="I17" s="24" t="s">
        <v>25</v>
      </c>
      <c r="J17" s="25">
        <f>SQRT(D16)/4</f>
        <v>0.84155634590520989</v>
      </c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workbookViewId="0">
      <selection activeCell="G13" sqref="G13"/>
    </sheetView>
  </sheetViews>
  <sheetFormatPr defaultRowHeight="14.5" x14ac:dyDescent="0.35"/>
  <cols>
    <col min="1" max="1" width="13.26953125" customWidth="1"/>
    <col min="9" max="9" width="11.5429687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69"/>
      <c r="G2" s="69"/>
      <c r="H2" s="17"/>
      <c r="I2" s="7"/>
      <c r="J2" s="3"/>
      <c r="K2" s="4"/>
    </row>
    <row r="3" spans="1:16" ht="15.5" x14ac:dyDescent="0.35">
      <c r="A3" s="8" t="s">
        <v>4</v>
      </c>
      <c r="B3" s="38">
        <v>26.43</v>
      </c>
      <c r="C3" s="38">
        <v>22.89</v>
      </c>
      <c r="D3" s="38">
        <v>27.85</v>
      </c>
      <c r="E3" s="38">
        <v>18.5</v>
      </c>
      <c r="F3" s="9">
        <f t="shared" ref="F3:F8" si="0">SUM(B3:E3)</f>
        <v>95.67</v>
      </c>
      <c r="G3" s="9">
        <f t="shared" ref="G3:G8" si="1">AVERAGE(B3:E3)</f>
        <v>23.9175</v>
      </c>
      <c r="H3" s="9"/>
      <c r="I3" s="7"/>
      <c r="J3" s="3" t="s">
        <v>5</v>
      </c>
      <c r="K3" s="4">
        <f>F9^2/J13</f>
        <v>16559.557350000003</v>
      </c>
    </row>
    <row r="4" spans="1:16" ht="15.5" x14ac:dyDescent="0.35">
      <c r="A4" s="8" t="s">
        <v>6</v>
      </c>
      <c r="B4" s="38">
        <v>26.7</v>
      </c>
      <c r="C4" s="38">
        <v>21.3</v>
      </c>
      <c r="D4" s="38">
        <v>31</v>
      </c>
      <c r="E4" s="38">
        <v>17.5</v>
      </c>
      <c r="F4" s="9">
        <f t="shared" si="0"/>
        <v>96.5</v>
      </c>
      <c r="G4" s="9">
        <f t="shared" si="1"/>
        <v>24.125</v>
      </c>
      <c r="H4" s="9"/>
      <c r="I4" s="7"/>
      <c r="J4" s="10" t="s">
        <v>7</v>
      </c>
      <c r="K4" s="9">
        <f>SUMSQ(F3:F8)/J12-K3</f>
        <v>164.55549999999494</v>
      </c>
      <c r="N4" s="8" t="s">
        <v>4</v>
      </c>
      <c r="O4" s="11">
        <f>G3</f>
        <v>23.9175</v>
      </c>
      <c r="P4" t="s">
        <v>29</v>
      </c>
    </row>
    <row r="5" spans="1:16" ht="15.5" x14ac:dyDescent="0.35">
      <c r="A5" s="8" t="s">
        <v>8</v>
      </c>
      <c r="B5" s="38">
        <v>26.7</v>
      </c>
      <c r="C5" s="38">
        <v>23.8</v>
      </c>
      <c r="D5" s="38">
        <v>24.4</v>
      </c>
      <c r="E5" s="38">
        <v>24</v>
      </c>
      <c r="F5" s="9">
        <f t="shared" si="0"/>
        <v>98.9</v>
      </c>
      <c r="G5" s="9">
        <f t="shared" si="1"/>
        <v>24.725000000000001</v>
      </c>
      <c r="H5" s="9"/>
      <c r="I5" s="7"/>
      <c r="J5" s="3" t="s">
        <v>9</v>
      </c>
      <c r="K5" s="12">
        <f>SUMSQ(B3:E8)-K3</f>
        <v>469.79464999999618</v>
      </c>
      <c r="N5" s="8" t="s">
        <v>6</v>
      </c>
      <c r="O5" s="11">
        <f t="shared" ref="O5:O9" si="2">G4</f>
        <v>24.125</v>
      </c>
      <c r="P5" t="s">
        <v>29</v>
      </c>
    </row>
    <row r="6" spans="1:16" ht="15.5" x14ac:dyDescent="0.35">
      <c r="A6" s="8" t="s">
        <v>10</v>
      </c>
      <c r="B6" s="38">
        <v>25.7</v>
      </c>
      <c r="C6" s="38">
        <v>30.2</v>
      </c>
      <c r="D6" s="38">
        <v>26.4</v>
      </c>
      <c r="E6" s="38">
        <v>18</v>
      </c>
      <c r="F6" s="9">
        <f t="shared" si="0"/>
        <v>100.3</v>
      </c>
      <c r="G6" s="9">
        <f t="shared" si="1"/>
        <v>25.074999999999999</v>
      </c>
      <c r="H6" s="9"/>
      <c r="I6" s="7"/>
      <c r="J6" s="3" t="s">
        <v>11</v>
      </c>
      <c r="K6" s="12">
        <f>SUMSQ(B9:E9)/J11-K3</f>
        <v>159.1131499999974</v>
      </c>
      <c r="N6" s="8" t="s">
        <v>8</v>
      </c>
      <c r="O6" s="11">
        <f t="shared" si="2"/>
        <v>24.725000000000001</v>
      </c>
      <c r="P6" t="s">
        <v>29</v>
      </c>
    </row>
    <row r="7" spans="1:16" ht="15.5" x14ac:dyDescent="0.35">
      <c r="A7" s="8" t="s">
        <v>12</v>
      </c>
      <c r="B7" s="38">
        <v>28.7</v>
      </c>
      <c r="C7" s="38">
        <v>31.6</v>
      </c>
      <c r="D7" s="38">
        <v>30.75</v>
      </c>
      <c r="E7" s="38">
        <v>25.5</v>
      </c>
      <c r="F7" s="9">
        <f t="shared" si="0"/>
        <v>116.55</v>
      </c>
      <c r="G7" s="9">
        <f t="shared" si="1"/>
        <v>29.137499999999999</v>
      </c>
      <c r="H7" s="9"/>
      <c r="I7" s="7"/>
      <c r="J7" s="3" t="s">
        <v>13</v>
      </c>
      <c r="K7" s="12">
        <f>SQRT(D16)/G9*100</f>
        <v>17.173378715471859</v>
      </c>
      <c r="N7" s="8" t="s">
        <v>10</v>
      </c>
      <c r="O7" s="11">
        <f t="shared" si="2"/>
        <v>25.074999999999999</v>
      </c>
      <c r="P7" t="s">
        <v>29</v>
      </c>
    </row>
    <row r="8" spans="1:16" ht="15.5" x14ac:dyDescent="0.35">
      <c r="A8" s="8" t="s">
        <v>27</v>
      </c>
      <c r="B8" s="38">
        <v>30.4</v>
      </c>
      <c r="C8" s="38">
        <v>35.9</v>
      </c>
      <c r="D8" s="38">
        <v>28.7</v>
      </c>
      <c r="E8" s="38">
        <v>27.5</v>
      </c>
      <c r="F8" s="9">
        <f t="shared" si="0"/>
        <v>122.5</v>
      </c>
      <c r="G8" s="9">
        <f t="shared" si="1"/>
        <v>30.625</v>
      </c>
      <c r="H8" s="9"/>
      <c r="I8" s="7"/>
      <c r="J8" s="3"/>
      <c r="K8" s="12"/>
      <c r="N8" s="8" t="s">
        <v>12</v>
      </c>
      <c r="O8" s="11">
        <f t="shared" si="2"/>
        <v>29.137499999999999</v>
      </c>
      <c r="P8" s="18" t="s">
        <v>30</v>
      </c>
    </row>
    <row r="9" spans="1:16" ht="15.5" x14ac:dyDescent="0.35">
      <c r="A9" s="61" t="s">
        <v>2</v>
      </c>
      <c r="B9" s="62">
        <f>SUM(B3:B8)</f>
        <v>164.63</v>
      </c>
      <c r="C9" s="62">
        <f>SUM(C3:C8)</f>
        <v>165.69</v>
      </c>
      <c r="D9" s="62">
        <f>SUM(D3:D8)</f>
        <v>169.1</v>
      </c>
      <c r="E9" s="62">
        <f>SUM(E3:E8)</f>
        <v>131</v>
      </c>
      <c r="F9" s="62">
        <f>SUM(F3:F8)</f>
        <v>630.42000000000007</v>
      </c>
      <c r="G9" s="62">
        <f>AVERAGE(G3:G8)</f>
        <v>26.267500000000002</v>
      </c>
      <c r="H9" s="29"/>
      <c r="J9" s="3"/>
      <c r="K9" s="14"/>
      <c r="N9" s="8" t="s">
        <v>27</v>
      </c>
      <c r="O9" s="11">
        <f t="shared" si="2"/>
        <v>30.625</v>
      </c>
      <c r="P9" t="s">
        <v>30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O11" s="18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68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</row>
    <row r="13" spans="1:16" ht="15.5" x14ac:dyDescent="0.35">
      <c r="A13" s="69"/>
      <c r="B13" s="69"/>
      <c r="C13" s="69"/>
      <c r="D13" s="69"/>
      <c r="E13" s="69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</row>
    <row r="14" spans="1:16" ht="15.5" x14ac:dyDescent="0.35">
      <c r="A14" s="21" t="s">
        <v>19</v>
      </c>
      <c r="B14" s="21">
        <v>3</v>
      </c>
      <c r="C14" s="9">
        <f>+K6</f>
        <v>159.1131499999974</v>
      </c>
      <c r="D14" s="9">
        <f>C14/B14</f>
        <v>53.037716666665801</v>
      </c>
      <c r="E14" s="9">
        <f>D14/D16</f>
        <v>2.6063686456995563</v>
      </c>
      <c r="F14" s="9">
        <v>3.29</v>
      </c>
      <c r="G14" s="9">
        <v>5.42</v>
      </c>
      <c r="H14" s="22" t="s">
        <v>20</v>
      </c>
      <c r="K14" s="23"/>
    </row>
    <row r="15" spans="1:16" ht="15.5" x14ac:dyDescent="0.35">
      <c r="A15" s="21" t="s">
        <v>0</v>
      </c>
      <c r="B15" s="21">
        <v>5</v>
      </c>
      <c r="C15" s="9">
        <f>+K4</f>
        <v>164.55549999999494</v>
      </c>
      <c r="D15" s="9">
        <f>C15/B15</f>
        <v>32.911099999998989</v>
      </c>
      <c r="E15" s="9">
        <f>D15/D16</f>
        <v>1.6173105579673603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5.1876698421995568</v>
      </c>
      <c r="K15" s="23"/>
    </row>
    <row r="16" spans="1:16" ht="15.5" x14ac:dyDescent="0.35">
      <c r="A16" s="26" t="s">
        <v>23</v>
      </c>
      <c r="B16" s="26">
        <f>B14*B15</f>
        <v>15</v>
      </c>
      <c r="C16" s="27">
        <f>C17-C15</f>
        <v>305.23915000000125</v>
      </c>
      <c r="D16" s="27">
        <f>C16/B16</f>
        <v>20.34927666666675</v>
      </c>
      <c r="E16" s="9"/>
      <c r="F16" s="9"/>
      <c r="G16" s="28"/>
      <c r="H16" s="28"/>
      <c r="I16" s="24" t="s">
        <v>24</v>
      </c>
      <c r="J16" s="25">
        <v>4.5999999999999996</v>
      </c>
      <c r="K16" s="23"/>
    </row>
    <row r="17" spans="1:10" ht="15.5" x14ac:dyDescent="0.35">
      <c r="A17" s="26" t="s">
        <v>2</v>
      </c>
      <c r="B17" s="26">
        <f>SUM(B14:B16)</f>
        <v>23</v>
      </c>
      <c r="C17" s="27">
        <f>+K5</f>
        <v>469.79464999999618</v>
      </c>
      <c r="D17" s="27"/>
      <c r="E17" s="35"/>
      <c r="F17" s="32"/>
      <c r="G17" s="36"/>
      <c r="I17" s="24" t="s">
        <v>25</v>
      </c>
      <c r="J17" s="25">
        <f>SQRT(D16)/4</f>
        <v>1.1277543135216428</v>
      </c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workbookViewId="0">
      <selection activeCell="I13" sqref="I13"/>
    </sheetView>
  </sheetViews>
  <sheetFormatPr defaultRowHeight="14.5" x14ac:dyDescent="0.35"/>
  <cols>
    <col min="1" max="1" width="13.26953125" customWidth="1"/>
    <col min="9" max="9" width="11.5429687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69"/>
      <c r="G2" s="69"/>
      <c r="H2" s="17"/>
      <c r="I2" s="7"/>
      <c r="J2" s="3"/>
      <c r="K2" s="4"/>
    </row>
    <row r="3" spans="1:16" ht="15.5" x14ac:dyDescent="0.35">
      <c r="A3" s="8" t="s">
        <v>4</v>
      </c>
      <c r="B3" s="38">
        <v>46.25</v>
      </c>
      <c r="C3" s="38">
        <v>38.65</v>
      </c>
      <c r="D3" s="38">
        <v>38.65</v>
      </c>
      <c r="E3" s="38">
        <v>27.5</v>
      </c>
      <c r="F3" s="9">
        <f t="shared" ref="F3:F8" si="0">SUM(B3:E3)</f>
        <v>151.05000000000001</v>
      </c>
      <c r="G3" s="9">
        <f t="shared" ref="G3:G8" si="1">AVERAGE(B3:E3)</f>
        <v>37.762500000000003</v>
      </c>
      <c r="H3" s="9"/>
      <c r="I3" s="7"/>
      <c r="J3" s="3" t="s">
        <v>5</v>
      </c>
      <c r="K3" s="4">
        <f>F9^2/J13</f>
        <v>50389.170416666653</v>
      </c>
    </row>
    <row r="4" spans="1:16" ht="15.5" x14ac:dyDescent="0.35">
      <c r="A4" s="8" t="s">
        <v>6</v>
      </c>
      <c r="B4" s="38">
        <v>60.7</v>
      </c>
      <c r="C4" s="38">
        <v>31.8</v>
      </c>
      <c r="D4" s="38">
        <v>47</v>
      </c>
      <c r="E4" s="38">
        <v>31.6</v>
      </c>
      <c r="F4" s="9">
        <f t="shared" si="0"/>
        <v>171.1</v>
      </c>
      <c r="G4" s="9">
        <f t="shared" si="1"/>
        <v>42.774999999999999</v>
      </c>
      <c r="H4" s="9"/>
      <c r="I4" s="7"/>
      <c r="J4" s="10" t="s">
        <v>7</v>
      </c>
      <c r="K4" s="9">
        <f>SUMSQ(F3:F8)/J12-K3</f>
        <v>494.90333333334274</v>
      </c>
      <c r="N4" s="8" t="s">
        <v>4</v>
      </c>
      <c r="O4" s="11">
        <f>G3</f>
        <v>37.762500000000003</v>
      </c>
      <c r="P4" t="s">
        <v>29</v>
      </c>
    </row>
    <row r="5" spans="1:16" ht="15.5" x14ac:dyDescent="0.35">
      <c r="A5" s="8" t="s">
        <v>8</v>
      </c>
      <c r="B5" s="38">
        <v>49.6</v>
      </c>
      <c r="C5" s="38">
        <v>46.6</v>
      </c>
      <c r="D5" s="38">
        <v>43.75</v>
      </c>
      <c r="E5" s="38">
        <v>47.2</v>
      </c>
      <c r="F5" s="9">
        <f t="shared" si="0"/>
        <v>187.14999999999998</v>
      </c>
      <c r="G5" s="9">
        <f t="shared" si="1"/>
        <v>46.787499999999994</v>
      </c>
      <c r="H5" s="9"/>
      <c r="I5" s="7"/>
      <c r="J5" s="3" t="s">
        <v>9</v>
      </c>
      <c r="K5" s="12">
        <f>SUMSQ(B3:E8)-K3</f>
        <v>1301.1595833333486</v>
      </c>
      <c r="N5" s="8" t="s">
        <v>6</v>
      </c>
      <c r="O5" s="11">
        <f t="shared" ref="O5:O9" si="2">G4</f>
        <v>42.774999999999999</v>
      </c>
      <c r="P5" s="18" t="s">
        <v>29</v>
      </c>
    </row>
    <row r="6" spans="1:16" ht="15.5" x14ac:dyDescent="0.35">
      <c r="A6" s="8" t="s">
        <v>10</v>
      </c>
      <c r="B6" s="38">
        <v>47.8</v>
      </c>
      <c r="C6" s="38">
        <v>46.8</v>
      </c>
      <c r="D6" s="38">
        <v>47.3</v>
      </c>
      <c r="E6" s="38">
        <v>42.6</v>
      </c>
      <c r="F6" s="9">
        <f t="shared" si="0"/>
        <v>184.49999999999997</v>
      </c>
      <c r="G6" s="9">
        <f t="shared" si="1"/>
        <v>46.124999999999993</v>
      </c>
      <c r="H6" s="9"/>
      <c r="I6" s="7"/>
      <c r="J6" s="3" t="s">
        <v>11</v>
      </c>
      <c r="K6" s="12">
        <f>SUMSQ(B9:E9)/J11-K3</f>
        <v>248.86875000003056</v>
      </c>
      <c r="N6" s="8" t="s">
        <v>8</v>
      </c>
      <c r="O6" s="11">
        <f t="shared" si="2"/>
        <v>46.787499999999994</v>
      </c>
      <c r="P6" s="18" t="s">
        <v>30</v>
      </c>
    </row>
    <row r="7" spans="1:16" ht="15.5" x14ac:dyDescent="0.35">
      <c r="A7" s="8" t="s">
        <v>12</v>
      </c>
      <c r="B7" s="38">
        <v>48.8</v>
      </c>
      <c r="C7" s="38">
        <v>52.5</v>
      </c>
      <c r="D7" s="38">
        <v>49.9</v>
      </c>
      <c r="E7" s="38">
        <v>50.7</v>
      </c>
      <c r="F7" s="9">
        <f t="shared" si="0"/>
        <v>201.89999999999998</v>
      </c>
      <c r="G7" s="9">
        <f t="shared" si="1"/>
        <v>50.474999999999994</v>
      </c>
      <c r="H7" s="9"/>
      <c r="I7" s="7"/>
      <c r="J7" s="3" t="s">
        <v>13</v>
      </c>
      <c r="K7" s="12">
        <f>SQRT(D16)/G9*100</f>
        <v>16.000292950477458</v>
      </c>
      <c r="N7" s="8" t="s">
        <v>10</v>
      </c>
      <c r="O7" s="11">
        <f t="shared" si="2"/>
        <v>46.124999999999993</v>
      </c>
      <c r="P7" s="18" t="s">
        <v>30</v>
      </c>
    </row>
    <row r="8" spans="1:16" ht="15.5" x14ac:dyDescent="0.35">
      <c r="A8" s="8" t="s">
        <v>27</v>
      </c>
      <c r="B8" s="38">
        <v>50.8</v>
      </c>
      <c r="C8" s="38">
        <v>51.9</v>
      </c>
      <c r="D8" s="38">
        <v>50.5</v>
      </c>
      <c r="E8" s="38">
        <v>50.8</v>
      </c>
      <c r="F8" s="9">
        <f t="shared" si="0"/>
        <v>204</v>
      </c>
      <c r="G8" s="9">
        <f t="shared" si="1"/>
        <v>51</v>
      </c>
      <c r="H8" s="9"/>
      <c r="I8" s="7"/>
      <c r="J8" s="3"/>
      <c r="K8" s="12"/>
      <c r="N8" s="8" t="s">
        <v>12</v>
      </c>
      <c r="O8" s="11">
        <f t="shared" si="2"/>
        <v>50.474999999999994</v>
      </c>
      <c r="P8" s="18" t="s">
        <v>31</v>
      </c>
    </row>
    <row r="9" spans="1:16" ht="15.5" x14ac:dyDescent="0.35">
      <c r="A9" s="61" t="s">
        <v>2</v>
      </c>
      <c r="B9" s="62">
        <f>SUM(B3:B8)</f>
        <v>303.95000000000005</v>
      </c>
      <c r="C9" s="62">
        <f>SUM(C3:C8)</f>
        <v>268.25</v>
      </c>
      <c r="D9" s="62">
        <f>SUM(D3:D8)</f>
        <v>277.10000000000002</v>
      </c>
      <c r="E9" s="62">
        <f>SUM(E3:E8)</f>
        <v>250.40000000000003</v>
      </c>
      <c r="F9" s="62">
        <f>SUM(F3:F8)</f>
        <v>1099.6999999999998</v>
      </c>
      <c r="G9" s="62">
        <f>AVERAGE(G3:G8)</f>
        <v>45.820833333333326</v>
      </c>
      <c r="H9" s="29"/>
      <c r="J9" s="3"/>
      <c r="K9" s="14"/>
      <c r="N9" s="8" t="s">
        <v>27</v>
      </c>
      <c r="O9" s="11">
        <f t="shared" si="2"/>
        <v>51</v>
      </c>
      <c r="P9" s="18" t="s">
        <v>31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O11" s="18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68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</row>
    <row r="13" spans="1:16" ht="15.5" x14ac:dyDescent="0.35">
      <c r="A13" s="69"/>
      <c r="B13" s="69"/>
      <c r="C13" s="69"/>
      <c r="D13" s="69"/>
      <c r="E13" s="69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</row>
    <row r="14" spans="1:16" ht="15.5" x14ac:dyDescent="0.35">
      <c r="A14" s="21" t="s">
        <v>19</v>
      </c>
      <c r="B14" s="21">
        <v>3</v>
      </c>
      <c r="C14" s="9">
        <f>+K6</f>
        <v>248.86875000003056</v>
      </c>
      <c r="D14" s="9">
        <f>C14/B14</f>
        <v>82.956250000010186</v>
      </c>
      <c r="E14" s="9">
        <f>D14/D16</f>
        <v>1.5433601289914265</v>
      </c>
      <c r="F14" s="9">
        <v>3.29</v>
      </c>
      <c r="G14" s="9">
        <v>5.42</v>
      </c>
      <c r="H14" s="22" t="s">
        <v>20</v>
      </c>
      <c r="K14" s="23"/>
    </row>
    <row r="15" spans="1:16" ht="15.5" x14ac:dyDescent="0.35">
      <c r="A15" s="21" t="s">
        <v>0</v>
      </c>
      <c r="B15" s="21">
        <v>5</v>
      </c>
      <c r="C15" s="9">
        <f>+K4</f>
        <v>494.90333333334274</v>
      </c>
      <c r="D15" s="9">
        <f>C15/B15</f>
        <v>98.980666666668554</v>
      </c>
      <c r="E15" s="9">
        <f>D15/D16</f>
        <v>1.8414865001046721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8.4311877005358618</v>
      </c>
      <c r="K15" s="23"/>
    </row>
    <row r="16" spans="1:16" ht="15.5" x14ac:dyDescent="0.35">
      <c r="A16" s="26" t="s">
        <v>23</v>
      </c>
      <c r="B16" s="26">
        <f>B14*B15</f>
        <v>15</v>
      </c>
      <c r="C16" s="27">
        <f>C17-C15</f>
        <v>806.25625000000582</v>
      </c>
      <c r="D16" s="27">
        <f>C16/B16</f>
        <v>53.750416666667057</v>
      </c>
      <c r="E16" s="9"/>
      <c r="F16" s="9"/>
      <c r="G16" s="28"/>
      <c r="H16" s="28"/>
      <c r="I16" s="24" t="s">
        <v>24</v>
      </c>
      <c r="J16" s="25">
        <v>4.5999999999999996</v>
      </c>
      <c r="K16" s="23"/>
    </row>
    <row r="17" spans="1:10" ht="15.5" x14ac:dyDescent="0.35">
      <c r="A17" s="26" t="s">
        <v>2</v>
      </c>
      <c r="B17" s="26">
        <f>SUM(B14:B16)</f>
        <v>23</v>
      </c>
      <c r="C17" s="27">
        <f>+K5</f>
        <v>1301.1595833333486</v>
      </c>
      <c r="D17" s="27"/>
      <c r="E17" s="35"/>
      <c r="F17" s="32"/>
      <c r="G17" s="36"/>
      <c r="I17" s="24" t="s">
        <v>25</v>
      </c>
      <c r="J17" s="25">
        <f>SQRT(D16)/4</f>
        <v>1.8328668914208395</v>
      </c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workbookViewId="0">
      <selection activeCell="G13" sqref="G13"/>
    </sheetView>
  </sheetViews>
  <sheetFormatPr defaultRowHeight="14.5" x14ac:dyDescent="0.35"/>
  <cols>
    <col min="1" max="1" width="13.26953125" customWidth="1"/>
    <col min="9" max="9" width="11.5429687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71"/>
      <c r="G2" s="71"/>
      <c r="H2" s="17"/>
      <c r="I2" s="7"/>
      <c r="J2" s="3"/>
      <c r="K2" s="4"/>
    </row>
    <row r="3" spans="1:16" ht="15.5" x14ac:dyDescent="0.35">
      <c r="A3" s="8" t="s">
        <v>4</v>
      </c>
      <c r="B3" s="38">
        <v>50.7</v>
      </c>
      <c r="C3" s="38">
        <v>52.85</v>
      </c>
      <c r="D3" s="38">
        <v>52.75</v>
      </c>
      <c r="E3" s="38">
        <v>39</v>
      </c>
      <c r="F3" s="9">
        <f t="shared" ref="F3:F8" si="0">SUM(B3:E3)</f>
        <v>195.3</v>
      </c>
      <c r="G3" s="9">
        <f t="shared" ref="G3:G8" si="1">AVERAGE(B3:E3)</f>
        <v>48.825000000000003</v>
      </c>
      <c r="H3" s="9"/>
      <c r="I3" s="7"/>
      <c r="J3" s="3" t="s">
        <v>5</v>
      </c>
      <c r="K3" s="4">
        <f>F9^2/J13</f>
        <v>75948.750416666691</v>
      </c>
    </row>
    <row r="4" spans="1:16" ht="15.5" x14ac:dyDescent="0.35">
      <c r="A4" s="8" t="s">
        <v>6</v>
      </c>
      <c r="B4" s="38">
        <v>63.7</v>
      </c>
      <c r="C4" s="38">
        <v>58.6</v>
      </c>
      <c r="D4" s="38">
        <v>57</v>
      </c>
      <c r="E4" s="38">
        <v>44.1</v>
      </c>
      <c r="F4" s="9">
        <f>SUM(B4:E4)</f>
        <v>223.4</v>
      </c>
      <c r="G4" s="9">
        <f>AVERAGE(B4:E4)</f>
        <v>55.85</v>
      </c>
      <c r="H4" s="9"/>
      <c r="I4" s="7"/>
      <c r="J4" s="10" t="s">
        <v>7</v>
      </c>
      <c r="K4" s="9">
        <f>SUMSQ(F3:F8)/J12-K3</f>
        <v>289.41208333331451</v>
      </c>
      <c r="N4" s="8" t="s">
        <v>4</v>
      </c>
      <c r="O4" s="11">
        <f>G3</f>
        <v>48.825000000000003</v>
      </c>
      <c r="P4" t="s">
        <v>29</v>
      </c>
    </row>
    <row r="5" spans="1:16" ht="15.5" x14ac:dyDescent="0.35">
      <c r="A5" s="8" t="s">
        <v>8</v>
      </c>
      <c r="B5" s="38">
        <v>60.4</v>
      </c>
      <c r="C5" s="38">
        <v>57.25</v>
      </c>
      <c r="D5" s="38">
        <v>56.25</v>
      </c>
      <c r="E5" s="38">
        <v>55.5</v>
      </c>
      <c r="F5" s="9">
        <f t="shared" si="0"/>
        <v>229.4</v>
      </c>
      <c r="G5" s="9">
        <f t="shared" si="1"/>
        <v>57.35</v>
      </c>
      <c r="H5" s="9"/>
      <c r="I5" s="7"/>
      <c r="J5" s="3" t="s">
        <v>9</v>
      </c>
      <c r="K5" s="12">
        <f>SUMSQ(B3:E8)-K3</f>
        <v>779.9195833333215</v>
      </c>
      <c r="N5" s="8" t="s">
        <v>6</v>
      </c>
      <c r="O5" s="11">
        <f t="shared" ref="O5:O9" si="2">G4</f>
        <v>55.85</v>
      </c>
      <c r="P5" s="18" t="s">
        <v>29</v>
      </c>
    </row>
    <row r="6" spans="1:16" ht="15.5" x14ac:dyDescent="0.35">
      <c r="A6" s="8" t="s">
        <v>10</v>
      </c>
      <c r="B6" s="38">
        <v>59.3</v>
      </c>
      <c r="C6" s="38">
        <v>63.5</v>
      </c>
      <c r="D6" s="38">
        <v>56</v>
      </c>
      <c r="E6" s="38">
        <v>57.4</v>
      </c>
      <c r="F6" s="9">
        <f t="shared" si="0"/>
        <v>236.20000000000002</v>
      </c>
      <c r="G6" s="9">
        <f t="shared" si="1"/>
        <v>59.050000000000004</v>
      </c>
      <c r="H6" s="9"/>
      <c r="I6" s="7"/>
      <c r="J6" s="3" t="s">
        <v>11</v>
      </c>
      <c r="K6" s="12">
        <f>SUMSQ(B9:E9)/J11-K3</f>
        <v>165.02791666665871</v>
      </c>
      <c r="N6" s="8" t="s">
        <v>8</v>
      </c>
      <c r="O6" s="11">
        <f t="shared" si="2"/>
        <v>57.35</v>
      </c>
      <c r="P6" s="18" t="s">
        <v>30</v>
      </c>
    </row>
    <row r="7" spans="1:16" ht="15.5" x14ac:dyDescent="0.35">
      <c r="A7" s="8" t="s">
        <v>12</v>
      </c>
      <c r="B7" s="38">
        <v>52.6</v>
      </c>
      <c r="C7" s="38">
        <v>58.5</v>
      </c>
      <c r="D7" s="38">
        <v>60</v>
      </c>
      <c r="E7" s="38">
        <v>60.5</v>
      </c>
      <c r="F7" s="9">
        <f t="shared" si="0"/>
        <v>231.6</v>
      </c>
      <c r="G7" s="9">
        <f t="shared" si="1"/>
        <v>57.9</v>
      </c>
      <c r="H7" s="9"/>
      <c r="I7" s="7"/>
      <c r="J7" s="3" t="s">
        <v>13</v>
      </c>
      <c r="K7" s="12">
        <f>SQRT(D16)/G9*100</f>
        <v>10.165353856371748</v>
      </c>
      <c r="N7" s="8" t="s">
        <v>10</v>
      </c>
      <c r="O7" s="11">
        <f t="shared" si="2"/>
        <v>59.050000000000004</v>
      </c>
      <c r="P7" s="18" t="s">
        <v>30</v>
      </c>
    </row>
    <row r="8" spans="1:16" ht="15.5" x14ac:dyDescent="0.35">
      <c r="A8" s="8" t="s">
        <v>27</v>
      </c>
      <c r="B8" s="38">
        <v>54.6</v>
      </c>
      <c r="C8" s="38">
        <v>61.4</v>
      </c>
      <c r="D8" s="38">
        <v>63.6</v>
      </c>
      <c r="E8" s="38">
        <v>54.6</v>
      </c>
      <c r="F8" s="9">
        <f t="shared" si="0"/>
        <v>234.2</v>
      </c>
      <c r="G8" s="9">
        <f t="shared" si="1"/>
        <v>58.55</v>
      </c>
      <c r="H8" s="9"/>
      <c r="I8" s="7"/>
      <c r="J8" s="3"/>
      <c r="K8" s="12"/>
      <c r="N8" s="8" t="s">
        <v>12</v>
      </c>
      <c r="O8" s="11">
        <f t="shared" si="2"/>
        <v>57.9</v>
      </c>
      <c r="P8" s="18" t="s">
        <v>31</v>
      </c>
    </row>
    <row r="9" spans="1:16" ht="15.5" x14ac:dyDescent="0.35">
      <c r="A9" s="5" t="s">
        <v>2</v>
      </c>
      <c r="B9" s="13">
        <f>SUM(B3:B8)</f>
        <v>341.30000000000007</v>
      </c>
      <c r="C9" s="13">
        <f>SUM(C3:C8)</f>
        <v>352.09999999999997</v>
      </c>
      <c r="D9" s="13">
        <f>SUM(D3:D8)</f>
        <v>345.6</v>
      </c>
      <c r="E9" s="13">
        <f>SUM(E3:E8)</f>
        <v>311.10000000000002</v>
      </c>
      <c r="F9" s="13">
        <f>SUM(F3:F8)</f>
        <v>1350.1000000000001</v>
      </c>
      <c r="G9" s="13">
        <f>AVERAGE(G3:G8)</f>
        <v>56.25416666666667</v>
      </c>
      <c r="H9" s="29"/>
      <c r="J9" s="3"/>
      <c r="K9" s="14"/>
      <c r="N9" s="8" t="s">
        <v>27</v>
      </c>
      <c r="O9" s="11">
        <f t="shared" si="2"/>
        <v>58.55</v>
      </c>
      <c r="P9" s="18" t="s">
        <v>31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8"/>
      <c r="M11" s="38"/>
      <c r="N11" s="38"/>
      <c r="O11" s="38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68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8"/>
      <c r="M12" s="38"/>
      <c r="N12" s="38"/>
      <c r="O12" s="38"/>
    </row>
    <row r="13" spans="1:16" ht="15.5" x14ac:dyDescent="0.35">
      <c r="A13" s="69"/>
      <c r="B13" s="69"/>
      <c r="C13" s="69"/>
      <c r="D13" s="69"/>
      <c r="E13" s="69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</row>
    <row r="14" spans="1:16" ht="15.5" x14ac:dyDescent="0.35">
      <c r="A14" s="21" t="s">
        <v>19</v>
      </c>
      <c r="B14" s="21">
        <v>3</v>
      </c>
      <c r="C14" s="9">
        <f>+K6</f>
        <v>165.02791666665871</v>
      </c>
      <c r="D14" s="9">
        <f>C14/B14</f>
        <v>55.009305555552906</v>
      </c>
      <c r="E14" s="9">
        <f>D14/D16</f>
        <v>1.6822160381508577</v>
      </c>
      <c r="F14" s="9">
        <v>3.29</v>
      </c>
      <c r="G14" s="9">
        <v>5.42</v>
      </c>
      <c r="H14" s="22" t="s">
        <v>20</v>
      </c>
      <c r="K14" s="23"/>
    </row>
    <row r="15" spans="1:16" ht="15.5" x14ac:dyDescent="0.35">
      <c r="A15" s="21" t="s">
        <v>0</v>
      </c>
      <c r="B15" s="21">
        <v>5</v>
      </c>
      <c r="C15" s="9">
        <f>+K4</f>
        <v>289.41208333331451</v>
      </c>
      <c r="D15" s="9">
        <f>C15/B15</f>
        <v>57.882416666662905</v>
      </c>
      <c r="E15" s="9">
        <f>D15/D16</f>
        <v>1.7700774198150511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6.5762003657127579</v>
      </c>
      <c r="K15" s="23"/>
    </row>
    <row r="16" spans="1:16" ht="15.5" x14ac:dyDescent="0.35">
      <c r="A16" s="26" t="s">
        <v>23</v>
      </c>
      <c r="B16" s="26">
        <f>B14*B15</f>
        <v>15</v>
      </c>
      <c r="C16" s="27">
        <f>C17-C15</f>
        <v>490.50750000000698</v>
      </c>
      <c r="D16" s="27">
        <f>C16/B16</f>
        <v>32.700500000000467</v>
      </c>
      <c r="E16" s="9"/>
      <c r="F16" s="9"/>
      <c r="G16" s="28"/>
      <c r="H16" s="28"/>
      <c r="I16" s="24" t="s">
        <v>24</v>
      </c>
      <c r="J16" s="25">
        <v>4.5999999999999996</v>
      </c>
      <c r="K16" s="23"/>
    </row>
    <row r="17" spans="1:10" ht="15.5" x14ac:dyDescent="0.35">
      <c r="A17" s="26" t="s">
        <v>2</v>
      </c>
      <c r="B17" s="26">
        <f>SUM(B14:B16)</f>
        <v>23</v>
      </c>
      <c r="C17" s="27">
        <f>+K5</f>
        <v>779.9195833333215</v>
      </c>
      <c r="D17" s="27"/>
      <c r="E17" s="35"/>
      <c r="F17" s="32"/>
      <c r="G17" s="36"/>
      <c r="I17" s="24" t="s">
        <v>25</v>
      </c>
      <c r="J17" s="25">
        <f>SQRT(D16)/4</f>
        <v>1.4296087751549476</v>
      </c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7"/>
  <sheetViews>
    <sheetView workbookViewId="0">
      <selection activeCell="G13" sqref="G13"/>
    </sheetView>
  </sheetViews>
  <sheetFormatPr defaultRowHeight="14.5" x14ac:dyDescent="0.35"/>
  <cols>
    <col min="1" max="1" width="13.26953125" customWidth="1"/>
    <col min="9" max="9" width="11.54296875" customWidth="1"/>
    <col min="14" max="14" width="11.453125" customWidth="1"/>
    <col min="15" max="15" width="14.1796875" customWidth="1"/>
  </cols>
  <sheetData>
    <row r="1" spans="1:17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  <c r="P1" s="50"/>
    </row>
    <row r="2" spans="1:17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69"/>
      <c r="G2" s="69"/>
      <c r="H2" s="17"/>
      <c r="I2" s="7"/>
      <c r="J2" s="3"/>
      <c r="K2" s="4"/>
    </row>
    <row r="3" spans="1:17" ht="15.5" x14ac:dyDescent="0.35">
      <c r="A3" s="8" t="s">
        <v>4</v>
      </c>
      <c r="B3" s="38">
        <v>56.75</v>
      </c>
      <c r="C3" s="38">
        <v>70</v>
      </c>
      <c r="D3" s="38">
        <v>62.45</v>
      </c>
      <c r="E3" s="38">
        <v>50.75</v>
      </c>
      <c r="F3" s="9">
        <f t="shared" ref="F3:F8" si="0">SUM(B3:E3)</f>
        <v>239.95</v>
      </c>
      <c r="G3" s="9">
        <f t="shared" ref="G3:G8" si="1">AVERAGE(B3:E3)</f>
        <v>59.987499999999997</v>
      </c>
      <c r="H3" s="9"/>
      <c r="I3" s="7"/>
      <c r="J3" s="3" t="s">
        <v>5</v>
      </c>
      <c r="K3" s="4">
        <f>F9^2/J13</f>
        <v>112493.47226666669</v>
      </c>
      <c r="N3" s="50" t="s">
        <v>0</v>
      </c>
      <c r="O3" s="50" t="s">
        <v>32</v>
      </c>
      <c r="P3" s="50"/>
    </row>
    <row r="4" spans="1:17" ht="15.5" x14ac:dyDescent="0.35">
      <c r="A4" s="8" t="s">
        <v>6</v>
      </c>
      <c r="B4" s="38">
        <v>65.75</v>
      </c>
      <c r="C4" s="38">
        <v>62.5</v>
      </c>
      <c r="D4" s="38">
        <v>66.5</v>
      </c>
      <c r="E4" s="38">
        <v>57.3</v>
      </c>
      <c r="F4" s="9">
        <f t="shared" si="0"/>
        <v>252.05</v>
      </c>
      <c r="G4" s="9">
        <f t="shared" si="1"/>
        <v>63.012500000000003</v>
      </c>
      <c r="H4" s="9"/>
      <c r="I4" s="7"/>
      <c r="J4" s="10" t="s">
        <v>7</v>
      </c>
      <c r="K4" s="9">
        <f>SUMSQ(F3:F8)/J12-K3</f>
        <v>922.17383333330508</v>
      </c>
      <c r="N4" s="49" t="s">
        <v>4</v>
      </c>
      <c r="O4" s="11">
        <f>G3</f>
        <v>59.987499999999997</v>
      </c>
      <c r="P4" s="50" t="s">
        <v>29</v>
      </c>
    </row>
    <row r="5" spans="1:17" ht="15.5" x14ac:dyDescent="0.35">
      <c r="A5" s="8" t="s">
        <v>8</v>
      </c>
      <c r="B5" s="38">
        <v>75.25</v>
      </c>
      <c r="C5" s="38">
        <v>59.65</v>
      </c>
      <c r="D5" s="38">
        <v>62.65</v>
      </c>
      <c r="E5" s="38">
        <v>60.4</v>
      </c>
      <c r="F5" s="9">
        <f t="shared" si="0"/>
        <v>257.95</v>
      </c>
      <c r="G5" s="9">
        <f t="shared" si="1"/>
        <v>64.487499999999997</v>
      </c>
      <c r="H5" s="9"/>
      <c r="I5" s="7"/>
      <c r="J5" s="3" t="s">
        <v>9</v>
      </c>
      <c r="K5" s="12">
        <f>SUMSQ(B3:E8)-K3</f>
        <v>1514.2881333333207</v>
      </c>
      <c r="N5" s="49" t="s">
        <v>6</v>
      </c>
      <c r="O5" s="11">
        <f t="shared" ref="O5:O9" si="2">G4</f>
        <v>63.012500000000003</v>
      </c>
      <c r="P5" s="50" t="s">
        <v>29</v>
      </c>
      <c r="Q5" s="18">
        <f>O5-O4</f>
        <v>3.0250000000000057</v>
      </c>
    </row>
    <row r="6" spans="1:17" ht="15.5" x14ac:dyDescent="0.35">
      <c r="A6" s="8" t="s">
        <v>10</v>
      </c>
      <c r="B6" s="38">
        <v>76</v>
      </c>
      <c r="C6" s="38">
        <v>71.7</v>
      </c>
      <c r="D6" s="38">
        <v>72.400000000000006</v>
      </c>
      <c r="E6" s="38">
        <v>69.900000000000006</v>
      </c>
      <c r="F6" s="9">
        <f t="shared" si="0"/>
        <v>290</v>
      </c>
      <c r="G6" s="9">
        <f t="shared" si="1"/>
        <v>72.5</v>
      </c>
      <c r="H6" s="9"/>
      <c r="I6" s="7"/>
      <c r="J6" s="3" t="s">
        <v>11</v>
      </c>
      <c r="K6" s="12">
        <f>SUMSQ(B9:E9)/J11-K3</f>
        <v>195.49863333332178</v>
      </c>
      <c r="N6" s="49" t="s">
        <v>8</v>
      </c>
      <c r="O6" s="11">
        <f t="shared" si="2"/>
        <v>64.487499999999997</v>
      </c>
      <c r="P6" s="50" t="s">
        <v>29</v>
      </c>
      <c r="Q6" s="18">
        <f>O6-O4</f>
        <v>4.5</v>
      </c>
    </row>
    <row r="7" spans="1:17" ht="15.5" x14ac:dyDescent="0.35">
      <c r="A7" s="8" t="s">
        <v>12</v>
      </c>
      <c r="B7" s="38">
        <v>82.02</v>
      </c>
      <c r="C7" s="38">
        <v>69.3</v>
      </c>
      <c r="D7" s="38">
        <v>73.7</v>
      </c>
      <c r="E7" s="38">
        <v>74.099999999999994</v>
      </c>
      <c r="F7" s="9">
        <f t="shared" si="0"/>
        <v>299.12</v>
      </c>
      <c r="G7" s="9">
        <f t="shared" si="1"/>
        <v>74.78</v>
      </c>
      <c r="H7" s="9"/>
      <c r="I7" s="7"/>
      <c r="J7" s="3" t="s">
        <v>13</v>
      </c>
      <c r="K7" s="12">
        <f>SQRT(D16)/G9*100</f>
        <v>9.1769656297822912</v>
      </c>
      <c r="N7" s="49" t="s">
        <v>10</v>
      </c>
      <c r="O7" s="11">
        <f t="shared" si="2"/>
        <v>72.5</v>
      </c>
      <c r="P7" s="50" t="s">
        <v>30</v>
      </c>
      <c r="Q7" s="18">
        <f>O7-O4</f>
        <v>12.512500000000003</v>
      </c>
    </row>
    <row r="8" spans="1:17" ht="15.5" x14ac:dyDescent="0.35">
      <c r="A8" s="8" t="s">
        <v>27</v>
      </c>
      <c r="B8" s="38">
        <v>73.25</v>
      </c>
      <c r="C8" s="38">
        <v>79.900000000000006</v>
      </c>
      <c r="D8" s="38">
        <v>80.5</v>
      </c>
      <c r="E8" s="38">
        <v>70.400000000000006</v>
      </c>
      <c r="F8" s="9">
        <f t="shared" si="0"/>
        <v>304.05</v>
      </c>
      <c r="G8" s="9">
        <f t="shared" si="1"/>
        <v>76.012500000000003</v>
      </c>
      <c r="H8" s="9"/>
      <c r="I8" s="7"/>
      <c r="J8" s="3"/>
      <c r="K8" s="12"/>
      <c r="N8" s="49" t="s">
        <v>12</v>
      </c>
      <c r="O8" s="11">
        <f t="shared" si="2"/>
        <v>74.78</v>
      </c>
      <c r="P8" s="50" t="s">
        <v>30</v>
      </c>
      <c r="Q8" s="50"/>
    </row>
    <row r="9" spans="1:17" ht="15.5" x14ac:dyDescent="0.35">
      <c r="A9" s="61" t="s">
        <v>2</v>
      </c>
      <c r="B9" s="62">
        <f>SUM(B3:B8)</f>
        <v>429.02</v>
      </c>
      <c r="C9" s="62">
        <f>SUM(C3:C8)</f>
        <v>413.05000000000007</v>
      </c>
      <c r="D9" s="62">
        <f>SUM(D3:D8)</f>
        <v>418.2</v>
      </c>
      <c r="E9" s="62">
        <f>SUM(E3:E8)</f>
        <v>382.85</v>
      </c>
      <c r="F9" s="62">
        <f>SUM(F3:F8)</f>
        <v>1643.1200000000001</v>
      </c>
      <c r="G9" s="62">
        <f>AVERAGE(G3:G8)</f>
        <v>68.463333333333338</v>
      </c>
      <c r="H9" s="29"/>
      <c r="J9" s="3"/>
      <c r="K9" s="14"/>
      <c r="N9" s="49" t="s">
        <v>27</v>
      </c>
      <c r="O9" s="11">
        <f t="shared" si="2"/>
        <v>76.012500000000003</v>
      </c>
      <c r="P9" s="50" t="s">
        <v>30</v>
      </c>
    </row>
    <row r="10" spans="1:17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  <c r="N10" s="52" t="s">
        <v>22</v>
      </c>
      <c r="O10" s="53">
        <f>J15</f>
        <v>7.2252850543537752</v>
      </c>
    </row>
    <row r="11" spans="1:17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8"/>
      <c r="M11" s="38"/>
      <c r="N11" s="38"/>
    </row>
    <row r="12" spans="1:17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68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8"/>
      <c r="M12" s="38"/>
      <c r="N12" s="38"/>
      <c r="O12" s="38"/>
    </row>
    <row r="13" spans="1:17" ht="15.5" x14ac:dyDescent="0.35">
      <c r="A13" s="69"/>
      <c r="B13" s="69"/>
      <c r="C13" s="69"/>
      <c r="D13" s="69"/>
      <c r="E13" s="69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</row>
    <row r="14" spans="1:17" ht="15.5" x14ac:dyDescent="0.35">
      <c r="A14" s="21" t="s">
        <v>19</v>
      </c>
      <c r="B14" s="21">
        <v>3</v>
      </c>
      <c r="C14" s="9">
        <f>+K6</f>
        <v>195.49863333332178</v>
      </c>
      <c r="D14" s="9">
        <f>C14/B14</f>
        <v>65.166211111107259</v>
      </c>
      <c r="E14" s="9">
        <f>D14/D16</f>
        <v>1.6508521524755999</v>
      </c>
      <c r="F14" s="9">
        <v>3.29</v>
      </c>
      <c r="G14" s="9">
        <v>5.42</v>
      </c>
      <c r="H14" s="22" t="s">
        <v>20</v>
      </c>
      <c r="K14" s="23"/>
      <c r="L14" s="38"/>
      <c r="M14" s="38"/>
      <c r="N14" s="38"/>
      <c r="O14" s="38"/>
    </row>
    <row r="15" spans="1:17" ht="15.5" x14ac:dyDescent="0.35">
      <c r="A15" s="21" t="s">
        <v>0</v>
      </c>
      <c r="B15" s="21">
        <v>5</v>
      </c>
      <c r="C15" s="9">
        <f>+K4</f>
        <v>922.17383333330508</v>
      </c>
      <c r="D15" s="9">
        <f>C15/B15</f>
        <v>184.43476666666101</v>
      </c>
      <c r="E15" s="9">
        <f>D15/D16</f>
        <v>4.6722761129056369</v>
      </c>
      <c r="F15" s="9">
        <v>2.9</v>
      </c>
      <c r="G15" s="9">
        <v>4.5599999999999996</v>
      </c>
      <c r="H15" s="22" t="s">
        <v>21</v>
      </c>
      <c r="I15" s="24" t="s">
        <v>22</v>
      </c>
      <c r="J15" s="25">
        <f>J16*J17</f>
        <v>7.2252850543537752</v>
      </c>
      <c r="K15" s="23"/>
    </row>
    <row r="16" spans="1:17" ht="15.5" x14ac:dyDescent="0.35">
      <c r="A16" s="26" t="s">
        <v>23</v>
      </c>
      <c r="B16" s="26">
        <f>B14*B15</f>
        <v>15</v>
      </c>
      <c r="C16" s="27">
        <f>C17-C15</f>
        <v>592.11430000001565</v>
      </c>
      <c r="D16" s="27">
        <f>C16/B16</f>
        <v>39.474286666667709</v>
      </c>
      <c r="E16" s="9"/>
      <c r="F16" s="9"/>
      <c r="G16" s="28"/>
      <c r="H16" s="28"/>
      <c r="I16" s="24" t="s">
        <v>24</v>
      </c>
      <c r="J16" s="25">
        <v>4.5999999999999996</v>
      </c>
      <c r="K16" s="23"/>
    </row>
    <row r="17" spans="1:10" ht="15.5" x14ac:dyDescent="0.35">
      <c r="A17" s="26" t="s">
        <v>2</v>
      </c>
      <c r="B17" s="26">
        <f>SUM(B14:B16)</f>
        <v>23</v>
      </c>
      <c r="C17" s="27">
        <f>+K5</f>
        <v>1514.2881333333207</v>
      </c>
      <c r="D17" s="27"/>
      <c r="E17" s="35"/>
      <c r="F17" s="32"/>
      <c r="G17" s="36"/>
      <c r="I17" s="24" t="s">
        <v>25</v>
      </c>
      <c r="J17" s="25">
        <f>SQRT(D16)/4</f>
        <v>1.5707141422508208</v>
      </c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workbookViewId="0">
      <selection activeCell="G13" sqref="G13"/>
    </sheetView>
  </sheetViews>
  <sheetFormatPr defaultRowHeight="14.5" x14ac:dyDescent="0.35"/>
  <cols>
    <col min="1" max="1" width="13.26953125" customWidth="1"/>
    <col min="9" max="9" width="11.5429687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69"/>
      <c r="G2" s="69"/>
      <c r="H2" s="17"/>
      <c r="I2" s="7"/>
      <c r="J2" s="3"/>
      <c r="K2" s="4"/>
    </row>
    <row r="3" spans="1:16" ht="15.5" x14ac:dyDescent="0.35">
      <c r="A3" s="8" t="s">
        <v>4</v>
      </c>
      <c r="B3" s="39">
        <v>12.5</v>
      </c>
      <c r="C3" s="37">
        <v>21.5</v>
      </c>
      <c r="D3" s="37">
        <v>17</v>
      </c>
      <c r="E3" s="37">
        <v>14.5</v>
      </c>
      <c r="F3" s="9">
        <f t="shared" ref="F3:F8" si="0">SUM(B3:E3)</f>
        <v>65.5</v>
      </c>
      <c r="G3" s="9">
        <f t="shared" ref="G3:G8" si="1">AVERAGE(B3:E3)</f>
        <v>16.375</v>
      </c>
      <c r="H3" s="9"/>
      <c r="I3" s="7"/>
      <c r="J3" s="3" t="s">
        <v>5</v>
      </c>
      <c r="K3" s="4">
        <f>F9^2/J13</f>
        <v>9184.59375</v>
      </c>
    </row>
    <row r="4" spans="1:16" ht="15.5" x14ac:dyDescent="0.35">
      <c r="A4" s="8" t="s">
        <v>6</v>
      </c>
      <c r="B4" s="39">
        <v>15.5</v>
      </c>
      <c r="C4" s="37">
        <v>23.5</v>
      </c>
      <c r="D4" s="37">
        <v>21.5</v>
      </c>
      <c r="E4" s="37">
        <v>11</v>
      </c>
      <c r="F4" s="9">
        <f t="shared" si="0"/>
        <v>71.5</v>
      </c>
      <c r="G4" s="9">
        <f t="shared" si="1"/>
        <v>17.875</v>
      </c>
      <c r="H4" s="9"/>
      <c r="I4" s="7"/>
      <c r="J4" s="10" t="s">
        <v>7</v>
      </c>
      <c r="K4" s="9">
        <f>SUMSQ(F3:F8)/J12-K3</f>
        <v>151.21875</v>
      </c>
      <c r="N4" s="8" t="s">
        <v>4</v>
      </c>
      <c r="O4" s="11">
        <f>G3</f>
        <v>16.375</v>
      </c>
      <c r="P4" t="s">
        <v>29</v>
      </c>
    </row>
    <row r="5" spans="1:16" ht="15.5" x14ac:dyDescent="0.35">
      <c r="A5" s="8" t="s">
        <v>8</v>
      </c>
      <c r="B5" s="39">
        <v>21.5</v>
      </c>
      <c r="C5" s="37">
        <v>21</v>
      </c>
      <c r="D5" s="37">
        <v>14</v>
      </c>
      <c r="E5" s="37">
        <v>13</v>
      </c>
      <c r="F5" s="9">
        <f t="shared" si="0"/>
        <v>69.5</v>
      </c>
      <c r="G5" s="9">
        <f t="shared" si="1"/>
        <v>17.375</v>
      </c>
      <c r="H5" s="9"/>
      <c r="I5" s="7"/>
      <c r="J5" s="3" t="s">
        <v>9</v>
      </c>
      <c r="K5" s="12">
        <f>SUMSQ(B3:E8)-K3</f>
        <v>672.15625</v>
      </c>
      <c r="N5" s="8" t="s">
        <v>6</v>
      </c>
      <c r="O5" s="11">
        <f t="shared" ref="O5:O9" si="2">G4</f>
        <v>17.875</v>
      </c>
      <c r="P5" t="s">
        <v>29</v>
      </c>
    </row>
    <row r="6" spans="1:16" ht="15.5" x14ac:dyDescent="0.35">
      <c r="A6" s="8" t="s">
        <v>10</v>
      </c>
      <c r="B6" s="39">
        <v>23.5</v>
      </c>
      <c r="C6" s="37">
        <v>25.5</v>
      </c>
      <c r="D6" s="37">
        <v>20.5</v>
      </c>
      <c r="E6" s="37">
        <v>14</v>
      </c>
      <c r="F6" s="9">
        <f t="shared" si="0"/>
        <v>83.5</v>
      </c>
      <c r="G6" s="9">
        <f t="shared" si="1"/>
        <v>20.875</v>
      </c>
      <c r="H6" s="9"/>
      <c r="I6" s="7"/>
      <c r="J6" s="3" t="s">
        <v>11</v>
      </c>
      <c r="K6" s="12">
        <f>SUMSQ(B9:E9)/J11-K3</f>
        <v>287.36458333333394</v>
      </c>
      <c r="N6" s="8" t="s">
        <v>8</v>
      </c>
      <c r="O6" s="11">
        <f t="shared" si="2"/>
        <v>17.375</v>
      </c>
      <c r="P6" t="s">
        <v>29</v>
      </c>
    </row>
    <row r="7" spans="1:16" ht="15.5" x14ac:dyDescent="0.35">
      <c r="A7" s="8" t="s">
        <v>12</v>
      </c>
      <c r="B7" s="39">
        <v>28</v>
      </c>
      <c r="C7" s="37">
        <v>21</v>
      </c>
      <c r="D7" s="37">
        <v>18</v>
      </c>
      <c r="E7" s="37">
        <v>19</v>
      </c>
      <c r="F7" s="9">
        <f t="shared" si="0"/>
        <v>86</v>
      </c>
      <c r="G7" s="9">
        <f t="shared" si="1"/>
        <v>21.5</v>
      </c>
      <c r="H7" s="9"/>
      <c r="I7" s="7"/>
      <c r="J7" s="3" t="s">
        <v>13</v>
      </c>
      <c r="K7" s="12">
        <f>SQRT(D16)/G9*100</f>
        <v>30.12470663810376</v>
      </c>
      <c r="N7" s="8" t="s">
        <v>10</v>
      </c>
      <c r="O7" s="11">
        <f t="shared" si="2"/>
        <v>20.875</v>
      </c>
      <c r="P7" t="s">
        <v>29</v>
      </c>
    </row>
    <row r="8" spans="1:16" ht="15.5" x14ac:dyDescent="0.35">
      <c r="A8" s="8" t="s">
        <v>27</v>
      </c>
      <c r="B8" s="39">
        <v>26</v>
      </c>
      <c r="C8" s="37">
        <v>33</v>
      </c>
      <c r="D8" s="37">
        <v>15.5</v>
      </c>
      <c r="E8" s="37">
        <v>19</v>
      </c>
      <c r="F8" s="9">
        <f t="shared" si="0"/>
        <v>93.5</v>
      </c>
      <c r="G8" s="9">
        <f t="shared" si="1"/>
        <v>23.375</v>
      </c>
      <c r="H8" s="9"/>
      <c r="I8" s="7"/>
      <c r="J8" s="3"/>
      <c r="K8" s="12"/>
      <c r="N8" s="8" t="s">
        <v>12</v>
      </c>
      <c r="O8" s="11">
        <f t="shared" si="2"/>
        <v>21.5</v>
      </c>
      <c r="P8" t="s">
        <v>29</v>
      </c>
    </row>
    <row r="9" spans="1:16" ht="15.5" x14ac:dyDescent="0.35">
      <c r="A9" s="61" t="s">
        <v>2</v>
      </c>
      <c r="B9" s="62">
        <f>SUM(B3:B8)</f>
        <v>127</v>
      </c>
      <c r="C9" s="62">
        <f>SUM(C3:C8)</f>
        <v>145.5</v>
      </c>
      <c r="D9" s="62">
        <f>SUM(D3:D8)</f>
        <v>106.5</v>
      </c>
      <c r="E9" s="62">
        <f>SUM(E3:E8)</f>
        <v>90.5</v>
      </c>
      <c r="F9" s="62">
        <f>SUM(F3:F8)</f>
        <v>469.5</v>
      </c>
      <c r="G9" s="62">
        <f>AVERAGE(G3:G8)</f>
        <v>19.5625</v>
      </c>
      <c r="H9" s="29"/>
      <c r="J9" s="3"/>
      <c r="K9" s="14"/>
      <c r="N9" s="8" t="s">
        <v>27</v>
      </c>
      <c r="O9" s="11">
        <f t="shared" si="2"/>
        <v>23.375</v>
      </c>
      <c r="P9" s="18" t="s">
        <v>30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7"/>
      <c r="N11" s="37"/>
      <c r="O11" s="37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68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7"/>
      <c r="N12" s="37"/>
      <c r="O12" s="37"/>
    </row>
    <row r="13" spans="1:16" ht="15.5" x14ac:dyDescent="0.35">
      <c r="A13" s="69"/>
      <c r="B13" s="69"/>
      <c r="C13" s="69"/>
      <c r="D13" s="69"/>
      <c r="E13" s="69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</row>
    <row r="14" spans="1:16" ht="15.5" x14ac:dyDescent="0.35">
      <c r="A14" s="21" t="s">
        <v>19</v>
      </c>
      <c r="B14" s="21">
        <v>3</v>
      </c>
      <c r="C14" s="9">
        <f>+K6</f>
        <v>287.36458333333394</v>
      </c>
      <c r="D14" s="9">
        <f>C14/B14</f>
        <v>95.788194444444642</v>
      </c>
      <c r="E14" s="9">
        <f>D14/D16</f>
        <v>2.7581483703259408</v>
      </c>
      <c r="F14" s="9">
        <v>3.29</v>
      </c>
      <c r="G14" s="9">
        <v>5.42</v>
      </c>
      <c r="H14" s="22" t="s">
        <v>20</v>
      </c>
      <c r="K14" s="23"/>
      <c r="L14" s="38"/>
      <c r="M14" s="38"/>
      <c r="N14" s="38"/>
      <c r="O14" s="38"/>
    </row>
    <row r="15" spans="1:16" ht="15.5" x14ac:dyDescent="0.35">
      <c r="A15" s="21" t="s">
        <v>0</v>
      </c>
      <c r="B15" s="21">
        <v>5</v>
      </c>
      <c r="C15" s="9">
        <f>+K4</f>
        <v>151.21875</v>
      </c>
      <c r="D15" s="9">
        <f>C15/B15</f>
        <v>30.243749999999999</v>
      </c>
      <c r="E15" s="9">
        <f>D15/D16</f>
        <v>0.87084583083383327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6.7771175964909043</v>
      </c>
      <c r="K15" s="23"/>
    </row>
    <row r="16" spans="1:16" ht="15.5" x14ac:dyDescent="0.35">
      <c r="A16" s="26" t="s">
        <v>23</v>
      </c>
      <c r="B16" s="26">
        <f>B14*B15</f>
        <v>15</v>
      </c>
      <c r="C16" s="27">
        <f>C17-C15</f>
        <v>520.9375</v>
      </c>
      <c r="D16" s="27">
        <f>C16/B16</f>
        <v>34.729166666666664</v>
      </c>
      <c r="E16" s="9"/>
      <c r="F16" s="9"/>
      <c r="G16" s="28"/>
      <c r="H16" s="28"/>
      <c r="I16" s="24" t="s">
        <v>24</v>
      </c>
      <c r="J16" s="25">
        <v>4.5999999999999996</v>
      </c>
      <c r="K16" s="23"/>
    </row>
    <row r="17" spans="1:10" ht="15.5" x14ac:dyDescent="0.35">
      <c r="A17" s="26" t="s">
        <v>2</v>
      </c>
      <c r="B17" s="26">
        <f>SUM(B14:B16)</f>
        <v>23</v>
      </c>
      <c r="C17" s="27">
        <f>+K5</f>
        <v>672.15625</v>
      </c>
      <c r="D17" s="27"/>
      <c r="E17" s="35"/>
      <c r="F17" s="32"/>
      <c r="G17" s="36"/>
      <c r="I17" s="24" t="s">
        <v>25</v>
      </c>
      <c r="J17" s="25">
        <f>SQRT(D16)/4</f>
        <v>1.473286434019762</v>
      </c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"/>
  <sheetViews>
    <sheetView workbookViewId="0">
      <selection activeCell="G13" sqref="G13"/>
    </sheetView>
  </sheetViews>
  <sheetFormatPr defaultRowHeight="14.5" x14ac:dyDescent="0.35"/>
  <cols>
    <col min="1" max="1" width="13.26953125" customWidth="1"/>
    <col min="9" max="9" width="11.5429687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71"/>
      <c r="G2" s="71"/>
      <c r="H2" s="17"/>
      <c r="I2" s="7"/>
      <c r="J2" s="3"/>
      <c r="K2" s="4"/>
    </row>
    <row r="3" spans="1:16" ht="15.5" x14ac:dyDescent="0.35">
      <c r="A3" s="8" t="s">
        <v>4</v>
      </c>
      <c r="B3" s="39">
        <v>40</v>
      </c>
      <c r="C3" s="37">
        <v>38</v>
      </c>
      <c r="D3" s="37">
        <v>42</v>
      </c>
      <c r="E3" s="37">
        <v>25.5</v>
      </c>
      <c r="F3" s="9">
        <f t="shared" ref="F3:F8" si="0">SUM(B3:E3)</f>
        <v>145.5</v>
      </c>
      <c r="G3" s="9">
        <f t="shared" ref="G3:G8" si="1">AVERAGE(B3:E3)</f>
        <v>36.375</v>
      </c>
      <c r="H3" s="9"/>
      <c r="I3" s="7"/>
      <c r="J3" s="3" t="s">
        <v>5</v>
      </c>
      <c r="K3" s="4">
        <f>F9^2/J13</f>
        <v>46420.010416666664</v>
      </c>
    </row>
    <row r="4" spans="1:16" ht="15.5" x14ac:dyDescent="0.35">
      <c r="A4" s="8" t="s">
        <v>6</v>
      </c>
      <c r="B4" s="39">
        <v>36</v>
      </c>
      <c r="C4" s="37">
        <v>54</v>
      </c>
      <c r="D4" s="37">
        <v>53</v>
      </c>
      <c r="E4" s="37">
        <v>27</v>
      </c>
      <c r="F4" s="9">
        <f t="shared" si="0"/>
        <v>170</v>
      </c>
      <c r="G4" s="9">
        <f t="shared" si="1"/>
        <v>42.5</v>
      </c>
      <c r="H4" s="9"/>
      <c r="I4" s="7"/>
      <c r="J4" s="10" t="s">
        <v>7</v>
      </c>
      <c r="K4" s="9">
        <f>SUMSQ(F3:F8)/J12-K3</f>
        <v>362.67708333333576</v>
      </c>
      <c r="N4" s="8" t="s">
        <v>4</v>
      </c>
      <c r="O4" s="11">
        <f>G3</f>
        <v>36.375</v>
      </c>
      <c r="P4" t="s">
        <v>29</v>
      </c>
    </row>
    <row r="5" spans="1:16" ht="15.5" x14ac:dyDescent="0.35">
      <c r="A5" s="8" t="s">
        <v>8</v>
      </c>
      <c r="B5" s="39">
        <v>44</v>
      </c>
      <c r="C5" s="37">
        <v>54.5</v>
      </c>
      <c r="D5" s="37">
        <v>48</v>
      </c>
      <c r="E5" s="37">
        <v>31</v>
      </c>
      <c r="F5" s="9">
        <f t="shared" si="0"/>
        <v>177.5</v>
      </c>
      <c r="G5" s="9">
        <f t="shared" si="1"/>
        <v>44.375</v>
      </c>
      <c r="H5" s="9"/>
      <c r="I5" s="7"/>
      <c r="J5" s="3" t="s">
        <v>9</v>
      </c>
      <c r="K5" s="12">
        <f>SUMSQ(B3:E8)-K3</f>
        <v>1875.2395833333358</v>
      </c>
      <c r="N5" s="8" t="s">
        <v>6</v>
      </c>
      <c r="O5" s="11">
        <f t="shared" ref="O5:O9" si="2">G4</f>
        <v>42.5</v>
      </c>
      <c r="P5" t="s">
        <v>29</v>
      </c>
    </row>
    <row r="6" spans="1:16" ht="15.5" x14ac:dyDescent="0.35">
      <c r="A6" s="8" t="s">
        <v>10</v>
      </c>
      <c r="B6" s="39">
        <v>53.5</v>
      </c>
      <c r="C6" s="37">
        <v>50</v>
      </c>
      <c r="D6" s="37">
        <v>50</v>
      </c>
      <c r="E6" s="37">
        <v>29.5</v>
      </c>
      <c r="F6" s="9">
        <f t="shared" si="0"/>
        <v>183</v>
      </c>
      <c r="G6" s="9">
        <f t="shared" si="1"/>
        <v>45.75</v>
      </c>
      <c r="H6" s="9"/>
      <c r="I6" s="7"/>
      <c r="J6" s="3" t="s">
        <v>11</v>
      </c>
      <c r="K6" s="12">
        <f>SUMSQ(B9:E9)/J11-K3</f>
        <v>1018.3645833333358</v>
      </c>
      <c r="N6" s="8" t="s">
        <v>8</v>
      </c>
      <c r="O6" s="11">
        <f>G5</f>
        <v>44.375</v>
      </c>
      <c r="P6" t="s">
        <v>29</v>
      </c>
    </row>
    <row r="7" spans="1:16" ht="15.5" x14ac:dyDescent="0.35">
      <c r="A7" s="8" t="s">
        <v>12</v>
      </c>
      <c r="B7" s="39">
        <v>54.5</v>
      </c>
      <c r="C7" s="37">
        <v>43</v>
      </c>
      <c r="D7" s="37">
        <v>48</v>
      </c>
      <c r="E7" s="37">
        <v>39</v>
      </c>
      <c r="F7" s="9">
        <f t="shared" si="0"/>
        <v>184.5</v>
      </c>
      <c r="G7" s="9">
        <f t="shared" si="1"/>
        <v>46.125</v>
      </c>
      <c r="H7" s="9"/>
      <c r="I7" s="7"/>
      <c r="J7" s="3" t="s">
        <v>13</v>
      </c>
      <c r="K7" s="12">
        <f>SQRT(D16)/G9*100</f>
        <v>22.833055854743009</v>
      </c>
      <c r="N7" s="8" t="s">
        <v>10</v>
      </c>
      <c r="O7" s="11">
        <f t="shared" si="2"/>
        <v>45.75</v>
      </c>
      <c r="P7" t="s">
        <v>29</v>
      </c>
    </row>
    <row r="8" spans="1:16" ht="15.5" x14ac:dyDescent="0.35">
      <c r="A8" s="8" t="s">
        <v>27</v>
      </c>
      <c r="B8" s="40">
        <v>49</v>
      </c>
      <c r="C8" s="41">
        <v>48</v>
      </c>
      <c r="D8" s="41">
        <v>53</v>
      </c>
      <c r="E8" s="41">
        <v>45</v>
      </c>
      <c r="F8" s="9">
        <f t="shared" si="0"/>
        <v>195</v>
      </c>
      <c r="G8" s="9">
        <f t="shared" si="1"/>
        <v>48.75</v>
      </c>
      <c r="H8" s="9"/>
      <c r="I8" s="7"/>
      <c r="J8" s="3"/>
      <c r="K8" s="12"/>
      <c r="N8" s="8" t="s">
        <v>12</v>
      </c>
      <c r="O8" s="11">
        <f t="shared" si="2"/>
        <v>46.125</v>
      </c>
      <c r="P8" s="18" t="s">
        <v>29</v>
      </c>
    </row>
    <row r="9" spans="1:16" ht="15.5" x14ac:dyDescent="0.35">
      <c r="A9" s="5" t="s">
        <v>2</v>
      </c>
      <c r="B9" s="13">
        <f>SUM(B3:B8)</f>
        <v>277</v>
      </c>
      <c r="C9" s="13">
        <f>SUM(C3:C8)</f>
        <v>287.5</v>
      </c>
      <c r="D9" s="13">
        <f>SUM(D3:D8)</f>
        <v>294</v>
      </c>
      <c r="E9" s="13">
        <f>SUM(E3:E8)</f>
        <v>197</v>
      </c>
      <c r="F9" s="13">
        <f>SUM(F3:F8)</f>
        <v>1055.5</v>
      </c>
      <c r="G9" s="13">
        <f>AVERAGE(G3:G8)</f>
        <v>43.979166666666664</v>
      </c>
      <c r="H9" s="29"/>
      <c r="J9" s="3"/>
      <c r="K9" s="14"/>
      <c r="N9" s="8" t="s">
        <v>27</v>
      </c>
      <c r="O9" s="11">
        <f t="shared" si="2"/>
        <v>48.75</v>
      </c>
      <c r="P9" s="18" t="s">
        <v>30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9"/>
      <c r="N11" s="37"/>
      <c r="O11" s="37"/>
      <c r="P11" s="37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68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9"/>
      <c r="N12" s="37"/>
      <c r="O12" s="37"/>
      <c r="P12" s="37"/>
    </row>
    <row r="13" spans="1:16" ht="15.5" x14ac:dyDescent="0.35">
      <c r="A13" s="69"/>
      <c r="B13" s="69"/>
      <c r="C13" s="69"/>
      <c r="D13" s="69"/>
      <c r="E13" s="69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</row>
    <row r="14" spans="1:16" ht="15.5" x14ac:dyDescent="0.35">
      <c r="A14" s="21" t="s">
        <v>19</v>
      </c>
      <c r="B14" s="21">
        <v>3</v>
      </c>
      <c r="C14" s="9">
        <f>+K6</f>
        <v>1018.3645833333358</v>
      </c>
      <c r="D14" s="9">
        <f>C14/B14</f>
        <v>339.45486111111194</v>
      </c>
      <c r="E14" s="9">
        <f>D14/D16</f>
        <v>3.3663553847637231</v>
      </c>
      <c r="F14" s="9">
        <v>3.29</v>
      </c>
      <c r="G14" s="9">
        <v>5.42</v>
      </c>
      <c r="H14" s="22" t="s">
        <v>28</v>
      </c>
      <c r="K14" s="23"/>
      <c r="L14" s="38"/>
      <c r="M14" s="38"/>
      <c r="N14" s="38"/>
      <c r="O14" s="38"/>
    </row>
    <row r="15" spans="1:16" ht="15.5" x14ac:dyDescent="0.35">
      <c r="A15" s="21" t="s">
        <v>0</v>
      </c>
      <c r="B15" s="21">
        <v>5</v>
      </c>
      <c r="C15" s="9">
        <f>+K4</f>
        <v>362.67708333333576</v>
      </c>
      <c r="D15" s="9">
        <f>C15/B15</f>
        <v>72.535416666667146</v>
      </c>
      <c r="E15" s="9">
        <f>D15/D16</f>
        <v>0.71932977976117163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11.548055842868097</v>
      </c>
      <c r="K15" s="23"/>
    </row>
    <row r="16" spans="1:16" ht="15.5" x14ac:dyDescent="0.35">
      <c r="A16" s="26" t="s">
        <v>23</v>
      </c>
      <c r="B16" s="26">
        <f>B14*B15</f>
        <v>15</v>
      </c>
      <c r="C16" s="27">
        <f>C17-C15</f>
        <v>1512.5625</v>
      </c>
      <c r="D16" s="27">
        <f>C16/B16</f>
        <v>100.83750000000001</v>
      </c>
      <c r="E16" s="9"/>
      <c r="F16" s="9"/>
      <c r="G16" s="28"/>
      <c r="H16" s="28"/>
      <c r="I16" s="24" t="s">
        <v>24</v>
      </c>
      <c r="J16" s="25">
        <v>4.5999999999999996</v>
      </c>
      <c r="K16" s="23"/>
    </row>
    <row r="17" spans="1:10" ht="15.5" x14ac:dyDescent="0.35">
      <c r="A17" s="26" t="s">
        <v>2</v>
      </c>
      <c r="B17" s="26">
        <f>SUM(B14:B16)</f>
        <v>23</v>
      </c>
      <c r="C17" s="27">
        <f>+K5</f>
        <v>1875.2395833333358</v>
      </c>
      <c r="D17" s="27"/>
      <c r="E17" s="35"/>
      <c r="F17" s="32"/>
      <c r="G17" s="36"/>
      <c r="I17" s="24" t="s">
        <v>25</v>
      </c>
      <c r="J17" s="25">
        <f>SQRT(D16)/4</f>
        <v>2.5104469223626298</v>
      </c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7"/>
  <sheetViews>
    <sheetView workbookViewId="0">
      <selection activeCell="G13" sqref="G13"/>
    </sheetView>
  </sheetViews>
  <sheetFormatPr defaultRowHeight="14.5" x14ac:dyDescent="0.35"/>
  <cols>
    <col min="1" max="1" width="13.26953125" customWidth="1"/>
    <col min="9" max="9" width="11.5429687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69"/>
      <c r="G2" s="69"/>
      <c r="H2" s="17"/>
      <c r="I2" s="7"/>
      <c r="J2" s="3"/>
      <c r="K2" s="4"/>
    </row>
    <row r="3" spans="1:16" ht="15.5" x14ac:dyDescent="0.35">
      <c r="A3" s="8" t="s">
        <v>4</v>
      </c>
      <c r="B3" s="39">
        <v>68</v>
      </c>
      <c r="C3" s="37">
        <v>70.5</v>
      </c>
      <c r="D3" s="37">
        <v>60</v>
      </c>
      <c r="E3" s="37">
        <v>55</v>
      </c>
      <c r="F3" s="9">
        <f t="shared" ref="F3:F8" si="0">SUM(B3:E3)</f>
        <v>253.5</v>
      </c>
      <c r="G3" s="9">
        <f t="shared" ref="G3:G8" si="1">AVERAGE(B3:E3)</f>
        <v>63.375</v>
      </c>
      <c r="H3" s="9"/>
      <c r="I3" s="7"/>
      <c r="J3" s="3" t="s">
        <v>5</v>
      </c>
      <c r="K3" s="4">
        <f>F9^2/J13</f>
        <v>119497.59375</v>
      </c>
    </row>
    <row r="4" spans="1:16" ht="15.5" x14ac:dyDescent="0.35">
      <c r="A4" s="8" t="s">
        <v>6</v>
      </c>
      <c r="B4" s="39">
        <v>74</v>
      </c>
      <c r="C4" s="37">
        <v>73</v>
      </c>
      <c r="D4" s="37">
        <v>54</v>
      </c>
      <c r="E4" s="37">
        <v>65.5</v>
      </c>
      <c r="F4" s="9">
        <f t="shared" si="0"/>
        <v>266.5</v>
      </c>
      <c r="G4" s="9">
        <f t="shared" si="1"/>
        <v>66.625</v>
      </c>
      <c r="H4" s="9"/>
      <c r="I4" s="7"/>
      <c r="J4" s="10" t="s">
        <v>7</v>
      </c>
      <c r="K4" s="9">
        <f>SUMSQ(F3:F8)/J12-K3</f>
        <v>492.96875</v>
      </c>
      <c r="N4" s="8" t="s">
        <v>4</v>
      </c>
      <c r="O4" s="11">
        <f>G3</f>
        <v>63.375</v>
      </c>
      <c r="P4" t="s">
        <v>29</v>
      </c>
    </row>
    <row r="5" spans="1:16" ht="15.5" x14ac:dyDescent="0.35">
      <c r="A5" s="8" t="s">
        <v>8</v>
      </c>
      <c r="B5" s="39">
        <v>77</v>
      </c>
      <c r="C5" s="37">
        <v>81</v>
      </c>
      <c r="D5" s="37">
        <v>67</v>
      </c>
      <c r="E5" s="37">
        <v>60</v>
      </c>
      <c r="F5" s="9">
        <f t="shared" si="0"/>
        <v>285</v>
      </c>
      <c r="G5" s="9">
        <f t="shared" si="1"/>
        <v>71.25</v>
      </c>
      <c r="H5" s="9"/>
      <c r="I5" s="7"/>
      <c r="J5" s="3" t="s">
        <v>9</v>
      </c>
      <c r="K5" s="43">
        <f>SUMSQ(B3:E8)-K3</f>
        <v>1835.65625</v>
      </c>
      <c r="N5" s="8" t="s">
        <v>6</v>
      </c>
      <c r="O5" s="11">
        <f t="shared" ref="O5:O9" si="2">G4</f>
        <v>66.625</v>
      </c>
      <c r="P5" t="s">
        <v>29</v>
      </c>
    </row>
    <row r="6" spans="1:16" ht="15.5" x14ac:dyDescent="0.35">
      <c r="A6" s="8" t="s">
        <v>10</v>
      </c>
      <c r="B6" s="39">
        <v>73</v>
      </c>
      <c r="C6" s="37">
        <v>80.5</v>
      </c>
      <c r="D6" s="37">
        <v>71</v>
      </c>
      <c r="E6" s="37">
        <v>65</v>
      </c>
      <c r="F6" s="9">
        <f t="shared" si="0"/>
        <v>289.5</v>
      </c>
      <c r="G6" s="9">
        <f t="shared" si="1"/>
        <v>72.375</v>
      </c>
      <c r="H6" s="9"/>
      <c r="I6" s="7"/>
      <c r="J6" s="3" t="s">
        <v>11</v>
      </c>
      <c r="K6" s="43">
        <f>SUMSQ(B9:E9)/J11-K3</f>
        <v>843.78125</v>
      </c>
      <c r="N6" s="8" t="s">
        <v>8</v>
      </c>
      <c r="O6" s="11">
        <f t="shared" si="2"/>
        <v>71.25</v>
      </c>
      <c r="P6" s="18" t="s">
        <v>29</v>
      </c>
    </row>
    <row r="7" spans="1:16" ht="15.5" x14ac:dyDescent="0.35">
      <c r="A7" s="8" t="s">
        <v>12</v>
      </c>
      <c r="B7" s="39">
        <v>73</v>
      </c>
      <c r="C7" s="37">
        <v>70.5</v>
      </c>
      <c r="D7" s="37">
        <v>68</v>
      </c>
      <c r="E7" s="37">
        <v>77</v>
      </c>
      <c r="F7" s="9">
        <f t="shared" si="0"/>
        <v>288.5</v>
      </c>
      <c r="G7" s="9">
        <f t="shared" si="1"/>
        <v>72.125</v>
      </c>
      <c r="H7" s="9"/>
      <c r="I7" s="7"/>
      <c r="J7" s="3" t="s">
        <v>13</v>
      </c>
      <c r="K7" s="12">
        <f>SQRT(D16)/G9*100</f>
        <v>13.408119874827079</v>
      </c>
      <c r="N7" s="8" t="s">
        <v>10</v>
      </c>
      <c r="O7" s="11">
        <f t="shared" si="2"/>
        <v>72.375</v>
      </c>
      <c r="P7" t="s">
        <v>29</v>
      </c>
    </row>
    <row r="8" spans="1:16" ht="15.5" x14ac:dyDescent="0.35">
      <c r="A8" s="8" t="s">
        <v>27</v>
      </c>
      <c r="B8" s="40">
        <v>86</v>
      </c>
      <c r="C8" s="41">
        <v>90.5</v>
      </c>
      <c r="D8" s="41">
        <v>71</v>
      </c>
      <c r="E8" s="41">
        <v>63</v>
      </c>
      <c r="F8" s="9">
        <f t="shared" si="0"/>
        <v>310.5</v>
      </c>
      <c r="G8" s="9">
        <f t="shared" si="1"/>
        <v>77.625</v>
      </c>
      <c r="H8" s="9"/>
      <c r="I8" s="7"/>
      <c r="J8" s="3"/>
      <c r="K8" s="12"/>
      <c r="N8" s="8" t="s">
        <v>12</v>
      </c>
      <c r="O8" s="11">
        <f t="shared" si="2"/>
        <v>72.125</v>
      </c>
      <c r="P8" s="18" t="s">
        <v>29</v>
      </c>
    </row>
    <row r="9" spans="1:16" ht="15.5" x14ac:dyDescent="0.35">
      <c r="A9" s="61" t="s">
        <v>2</v>
      </c>
      <c r="B9" s="13">
        <f>SUM(B3:B8)</f>
        <v>451</v>
      </c>
      <c r="C9" s="13">
        <f>SUM(C3:C8)</f>
        <v>466</v>
      </c>
      <c r="D9" s="13">
        <f>SUM(D3:D8)</f>
        <v>391</v>
      </c>
      <c r="E9" s="13">
        <f>SUM(E3:E8)</f>
        <v>385.5</v>
      </c>
      <c r="F9" s="62">
        <f>SUM(F3:F8)</f>
        <v>1693.5</v>
      </c>
      <c r="G9" s="62">
        <f>AVERAGE(G3:G8)</f>
        <v>70.5625</v>
      </c>
      <c r="H9" s="29"/>
      <c r="J9" s="3"/>
      <c r="K9" s="14"/>
      <c r="N9" s="8" t="s">
        <v>27</v>
      </c>
      <c r="O9" s="11">
        <f t="shared" si="2"/>
        <v>77.625</v>
      </c>
      <c r="P9" s="18" t="s">
        <v>30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9"/>
      <c r="N11" s="37"/>
      <c r="O11" s="37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68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9"/>
      <c r="N12" s="37"/>
      <c r="O12" s="37"/>
    </row>
    <row r="13" spans="1:16" ht="15.5" x14ac:dyDescent="0.35">
      <c r="A13" s="69"/>
      <c r="B13" s="69"/>
      <c r="C13" s="69"/>
      <c r="D13" s="69"/>
      <c r="E13" s="69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</row>
    <row r="14" spans="1:16" ht="15.5" x14ac:dyDescent="0.35">
      <c r="A14" s="21" t="s">
        <v>19</v>
      </c>
      <c r="B14" s="21">
        <v>3</v>
      </c>
      <c r="C14" s="31">
        <f>+K6</f>
        <v>843.78125</v>
      </c>
      <c r="D14" s="9">
        <f>C14/B14</f>
        <v>281.26041666666669</v>
      </c>
      <c r="E14" s="9">
        <f>D14/D16</f>
        <v>3.1421356421356421</v>
      </c>
      <c r="F14" s="9">
        <v>3.29</v>
      </c>
      <c r="G14" s="9">
        <v>5.42</v>
      </c>
      <c r="H14" s="22" t="s">
        <v>20</v>
      </c>
      <c r="K14" s="23"/>
      <c r="L14" s="38"/>
      <c r="M14" s="38"/>
      <c r="N14" s="38"/>
      <c r="O14" s="38"/>
    </row>
    <row r="15" spans="1:16" ht="15.5" x14ac:dyDescent="0.35">
      <c r="A15" s="21" t="s">
        <v>0</v>
      </c>
      <c r="B15" s="21">
        <v>5</v>
      </c>
      <c r="C15" s="31">
        <f>+K4</f>
        <v>492.96875</v>
      </c>
      <c r="D15" s="9">
        <f>C15/B15</f>
        <v>98.59375</v>
      </c>
      <c r="E15" s="9">
        <f>D15/D16</f>
        <v>1.1014523111297305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10.880270274676084</v>
      </c>
      <c r="K15" s="23"/>
    </row>
    <row r="16" spans="1:16" ht="15.5" x14ac:dyDescent="0.35">
      <c r="A16" s="26" t="s">
        <v>23</v>
      </c>
      <c r="B16" s="26">
        <f>B14*B15</f>
        <v>15</v>
      </c>
      <c r="C16" s="42">
        <f>C17-C15</f>
        <v>1342.6875</v>
      </c>
      <c r="D16" s="27">
        <f>C16/B16</f>
        <v>89.512500000000003</v>
      </c>
      <c r="E16" s="9"/>
      <c r="F16" s="9"/>
      <c r="G16" s="28"/>
      <c r="H16" s="28"/>
      <c r="I16" s="24" t="s">
        <v>24</v>
      </c>
      <c r="J16" s="25">
        <v>4.5999999999999996</v>
      </c>
      <c r="K16" s="23"/>
    </row>
    <row r="17" spans="1:10" ht="15.5" x14ac:dyDescent="0.35">
      <c r="A17" s="26" t="s">
        <v>2</v>
      </c>
      <c r="B17" s="26">
        <f>SUM(B14:B16)</f>
        <v>23</v>
      </c>
      <c r="C17" s="42">
        <f>+K5</f>
        <v>1835.65625</v>
      </c>
      <c r="D17" s="27"/>
      <c r="E17" s="35"/>
      <c r="F17" s="32"/>
      <c r="G17" s="36"/>
      <c r="I17" s="24" t="s">
        <v>25</v>
      </c>
      <c r="J17" s="25">
        <f>SQRT(D16)/4</f>
        <v>2.3652761466687142</v>
      </c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0"/>
  <sheetViews>
    <sheetView tabSelected="1" topLeftCell="A5" workbookViewId="0">
      <selection activeCell="C14" sqref="C14"/>
    </sheetView>
  </sheetViews>
  <sheetFormatPr defaultRowHeight="14.5" x14ac:dyDescent="0.35"/>
  <cols>
    <col min="1" max="1" width="13.26953125" customWidth="1"/>
    <col min="9" max="9" width="11.5429687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69"/>
      <c r="G2" s="69"/>
      <c r="H2" s="17"/>
      <c r="I2" s="7"/>
      <c r="J2" s="3"/>
      <c r="K2" s="4"/>
    </row>
    <row r="3" spans="1:16" ht="15.5" x14ac:dyDescent="0.35">
      <c r="A3" s="8" t="s">
        <v>4</v>
      </c>
      <c r="B3" s="39">
        <v>73.5</v>
      </c>
      <c r="C3" s="37">
        <v>81</v>
      </c>
      <c r="D3" s="37">
        <v>76</v>
      </c>
      <c r="E3" s="37">
        <v>58</v>
      </c>
      <c r="F3" s="9">
        <f t="shared" ref="F3:F8" si="0">SUM(B3:E3)</f>
        <v>288.5</v>
      </c>
      <c r="G3" s="9">
        <f t="shared" ref="G3:G8" si="1">AVERAGE(B3:E3)</f>
        <v>72.125</v>
      </c>
      <c r="H3" s="9"/>
      <c r="I3" s="7"/>
      <c r="J3" s="3" t="s">
        <v>5</v>
      </c>
      <c r="K3" s="4">
        <f>F9^2/J13</f>
        <v>176216.34375</v>
      </c>
    </row>
    <row r="4" spans="1:16" ht="15.5" x14ac:dyDescent="0.35">
      <c r="A4" s="8" t="s">
        <v>6</v>
      </c>
      <c r="B4" s="39">
        <v>76</v>
      </c>
      <c r="C4" s="37">
        <v>78</v>
      </c>
      <c r="D4" s="37">
        <v>74</v>
      </c>
      <c r="E4" s="37">
        <v>70</v>
      </c>
      <c r="F4" s="9">
        <f t="shared" si="0"/>
        <v>298</v>
      </c>
      <c r="G4" s="9">
        <f t="shared" si="1"/>
        <v>74.5</v>
      </c>
      <c r="H4" s="9"/>
      <c r="I4" s="7"/>
      <c r="J4" s="10" t="s">
        <v>7</v>
      </c>
      <c r="K4" s="9">
        <f>SUMSQ(F3:F8)/J12-K3</f>
        <v>2450.84375</v>
      </c>
      <c r="N4" s="8" t="s">
        <v>4</v>
      </c>
      <c r="O4" s="11">
        <f>G3</f>
        <v>72.125</v>
      </c>
      <c r="P4" t="s">
        <v>29</v>
      </c>
    </row>
    <row r="5" spans="1:16" ht="15.5" x14ac:dyDescent="0.35">
      <c r="A5" s="8" t="s">
        <v>8</v>
      </c>
      <c r="B5" s="39">
        <v>80</v>
      </c>
      <c r="C5" s="37">
        <v>83</v>
      </c>
      <c r="D5" s="37">
        <v>73.5</v>
      </c>
      <c r="E5" s="37">
        <v>89</v>
      </c>
      <c r="F5" s="9">
        <f t="shared" si="0"/>
        <v>325.5</v>
      </c>
      <c r="G5" s="9">
        <f t="shared" si="1"/>
        <v>81.375</v>
      </c>
      <c r="H5" s="9"/>
      <c r="I5" s="7"/>
      <c r="J5" s="3" t="s">
        <v>9</v>
      </c>
      <c r="K5" s="43">
        <f>SUMSQ(B3:E8)-K3</f>
        <v>5118.90625</v>
      </c>
      <c r="N5" s="8" t="s">
        <v>6</v>
      </c>
      <c r="O5" s="11">
        <f t="shared" ref="O5:O9" si="2">G4</f>
        <v>74.5</v>
      </c>
      <c r="P5" t="s">
        <v>29</v>
      </c>
    </row>
    <row r="6" spans="1:16" ht="15.5" x14ac:dyDescent="0.35">
      <c r="A6" s="8" t="s">
        <v>10</v>
      </c>
      <c r="B6" s="39">
        <v>91</v>
      </c>
      <c r="C6" s="37">
        <v>96.5</v>
      </c>
      <c r="D6" s="37">
        <v>92</v>
      </c>
      <c r="E6" s="37">
        <v>97</v>
      </c>
      <c r="F6" s="9">
        <f t="shared" si="0"/>
        <v>376.5</v>
      </c>
      <c r="G6" s="9">
        <f t="shared" si="1"/>
        <v>94.125</v>
      </c>
      <c r="H6" s="9"/>
      <c r="I6" s="7"/>
      <c r="J6" s="3" t="s">
        <v>11</v>
      </c>
      <c r="K6" s="43">
        <f>SUMSQ(B9:E9)/J11-K3</f>
        <v>1120.364583333343</v>
      </c>
      <c r="N6" s="8" t="s">
        <v>8</v>
      </c>
      <c r="O6" s="11">
        <f t="shared" si="2"/>
        <v>81.375</v>
      </c>
      <c r="P6" s="18" t="s">
        <v>29</v>
      </c>
    </row>
    <row r="7" spans="1:16" ht="15.5" x14ac:dyDescent="0.35">
      <c r="A7" s="8" t="s">
        <v>12</v>
      </c>
      <c r="B7" s="39">
        <v>100.5</v>
      </c>
      <c r="C7" s="37">
        <v>122</v>
      </c>
      <c r="D7" s="37">
        <v>68.5</v>
      </c>
      <c r="E7" s="37">
        <v>96</v>
      </c>
      <c r="F7" s="9">
        <f t="shared" si="0"/>
        <v>387</v>
      </c>
      <c r="G7" s="9">
        <f t="shared" si="1"/>
        <v>96.75</v>
      </c>
      <c r="H7" s="9"/>
      <c r="I7" s="7"/>
      <c r="J7" s="3" t="s">
        <v>13</v>
      </c>
      <c r="K7" s="12">
        <f>SQRT(D16)/G9*100</f>
        <v>15.564490106656685</v>
      </c>
      <c r="N7" s="8" t="s">
        <v>10</v>
      </c>
      <c r="O7" s="11">
        <f t="shared" si="2"/>
        <v>94.125</v>
      </c>
      <c r="P7" s="18" t="s">
        <v>30</v>
      </c>
    </row>
    <row r="8" spans="1:16" ht="15.5" x14ac:dyDescent="0.35">
      <c r="A8" s="8" t="s">
        <v>27</v>
      </c>
      <c r="B8" s="39">
        <v>98</v>
      </c>
      <c r="C8" s="37">
        <v>114</v>
      </c>
      <c r="D8" s="37">
        <v>76</v>
      </c>
      <c r="E8" s="37">
        <v>93</v>
      </c>
      <c r="F8" s="9">
        <f t="shared" si="0"/>
        <v>381</v>
      </c>
      <c r="G8" s="9">
        <f t="shared" si="1"/>
        <v>95.25</v>
      </c>
      <c r="H8" s="9"/>
      <c r="I8" s="7"/>
      <c r="J8" s="3"/>
      <c r="K8" s="12"/>
      <c r="N8" s="8" t="s">
        <v>12</v>
      </c>
      <c r="O8" s="11">
        <f t="shared" si="2"/>
        <v>96.75</v>
      </c>
      <c r="P8" t="s">
        <v>30</v>
      </c>
    </row>
    <row r="9" spans="1:16" ht="15.5" x14ac:dyDescent="0.35">
      <c r="A9" s="61" t="s">
        <v>2</v>
      </c>
      <c r="B9" s="62">
        <f>SUM(B3:B8)</f>
        <v>519</v>
      </c>
      <c r="C9" s="62">
        <f>SUM(C3:C8)</f>
        <v>574.5</v>
      </c>
      <c r="D9" s="62">
        <f>SUM(D3:D8)</f>
        <v>460</v>
      </c>
      <c r="E9" s="62">
        <f>SUM(E3:E8)</f>
        <v>503</v>
      </c>
      <c r="F9" s="62">
        <f>SUM(F3:F8)</f>
        <v>2056.5</v>
      </c>
      <c r="G9" s="62">
        <f>AVERAGE(G3:G8)</f>
        <v>85.6875</v>
      </c>
      <c r="H9" s="29"/>
      <c r="J9" s="3"/>
      <c r="K9" s="14"/>
      <c r="N9" s="8" t="s">
        <v>27</v>
      </c>
      <c r="O9" s="11">
        <f t="shared" si="2"/>
        <v>95.25</v>
      </c>
      <c r="P9" t="s">
        <v>30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7"/>
      <c r="N11" s="37"/>
      <c r="O11" s="37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68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7"/>
      <c r="N12" s="37"/>
      <c r="O12" s="37"/>
    </row>
    <row r="13" spans="1:16" ht="15.5" x14ac:dyDescent="0.35">
      <c r="A13" s="69"/>
      <c r="B13" s="69"/>
      <c r="C13" s="69"/>
      <c r="D13" s="69"/>
      <c r="E13" s="69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</row>
    <row r="14" spans="1:16" ht="15.5" x14ac:dyDescent="0.35">
      <c r="A14" s="21" t="s">
        <v>19</v>
      </c>
      <c r="B14" s="21">
        <v>3</v>
      </c>
      <c r="C14" s="31">
        <f>+K6</f>
        <v>1120.364583333343</v>
      </c>
      <c r="D14" s="9">
        <f>C14/B14</f>
        <v>373.45486111111433</v>
      </c>
      <c r="E14" s="9">
        <f>D14/D16</f>
        <v>2.0995845924399128</v>
      </c>
      <c r="F14" s="9">
        <v>3.29</v>
      </c>
      <c r="G14" s="9">
        <v>5.42</v>
      </c>
      <c r="H14" s="22" t="s">
        <v>20</v>
      </c>
      <c r="K14" s="23"/>
      <c r="L14" s="39"/>
      <c r="M14" s="37"/>
      <c r="N14" s="37"/>
      <c r="O14" s="37"/>
    </row>
    <row r="15" spans="1:16" ht="15.5" x14ac:dyDescent="0.35">
      <c r="A15" s="21" t="s">
        <v>0</v>
      </c>
      <c r="B15" s="21">
        <v>5</v>
      </c>
      <c r="C15" s="31">
        <f>+K4</f>
        <v>2450.84375</v>
      </c>
      <c r="D15" s="9">
        <f>C15/B15</f>
        <v>490.16874999999999</v>
      </c>
      <c r="E15" s="9">
        <f>D15/D16</f>
        <v>2.7557567523249547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15.337345829162663</v>
      </c>
      <c r="K15" s="23"/>
      <c r="L15" s="39"/>
      <c r="M15" s="37"/>
      <c r="N15" s="37"/>
      <c r="O15" s="37"/>
    </row>
    <row r="16" spans="1:16" ht="15.5" x14ac:dyDescent="0.35">
      <c r="A16" s="26" t="s">
        <v>23</v>
      </c>
      <c r="B16" s="26">
        <f>B14*B15</f>
        <v>15</v>
      </c>
      <c r="C16" s="42">
        <f>C17-C15</f>
        <v>2668.0625</v>
      </c>
      <c r="D16" s="27">
        <f>C16/B16</f>
        <v>177.87083333333334</v>
      </c>
      <c r="E16" s="9"/>
      <c r="F16" s="9"/>
      <c r="G16" s="28"/>
      <c r="H16" s="28"/>
      <c r="I16" s="24" t="s">
        <v>24</v>
      </c>
      <c r="J16" s="25">
        <v>4.5999999999999996</v>
      </c>
      <c r="K16" s="23"/>
      <c r="L16" s="39"/>
      <c r="M16" s="37"/>
      <c r="N16" s="37"/>
      <c r="O16" s="37"/>
    </row>
    <row r="17" spans="1:15" ht="15.5" x14ac:dyDescent="0.35">
      <c r="A17" s="26" t="s">
        <v>2</v>
      </c>
      <c r="B17" s="26">
        <f>SUM(B14:B16)</f>
        <v>23</v>
      </c>
      <c r="C17" s="42">
        <f>+K5</f>
        <v>5118.90625</v>
      </c>
      <c r="D17" s="27"/>
      <c r="E17" s="35"/>
      <c r="F17" s="32"/>
      <c r="G17" s="36"/>
      <c r="I17" s="24" t="s">
        <v>25</v>
      </c>
      <c r="J17" s="25">
        <f>SQRT(D16)/4</f>
        <v>3.3342056150353616</v>
      </c>
      <c r="L17" s="39"/>
      <c r="M17" s="37"/>
      <c r="N17" s="37"/>
      <c r="O17" s="37"/>
    </row>
    <row r="19" spans="1:15" ht="15.5" x14ac:dyDescent="0.35">
      <c r="L19" s="39"/>
      <c r="M19" s="37"/>
      <c r="N19" s="37"/>
      <c r="O19" s="37"/>
    </row>
    <row r="20" spans="1:15" ht="15.5" x14ac:dyDescent="0.35">
      <c r="L20" s="39"/>
      <c r="M20" s="37"/>
      <c r="N20" s="37"/>
      <c r="O20" s="37"/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7"/>
  <sheetViews>
    <sheetView workbookViewId="0">
      <selection activeCell="G13" sqref="G13"/>
    </sheetView>
  </sheetViews>
  <sheetFormatPr defaultRowHeight="14.5" x14ac:dyDescent="0.35"/>
  <cols>
    <col min="1" max="1" width="13.26953125" customWidth="1"/>
    <col min="9" max="9" width="11.54296875" customWidth="1"/>
  </cols>
  <sheetData>
    <row r="1" spans="1:17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7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71"/>
      <c r="G2" s="71"/>
      <c r="H2" s="17"/>
      <c r="I2" s="7"/>
      <c r="J2" s="3"/>
      <c r="K2" s="4"/>
    </row>
    <row r="3" spans="1:17" ht="15.5" x14ac:dyDescent="0.35">
      <c r="A3" s="8" t="s">
        <v>4</v>
      </c>
      <c r="B3" s="39">
        <v>84</v>
      </c>
      <c r="C3" s="37">
        <v>80.5</v>
      </c>
      <c r="D3" s="37">
        <v>76</v>
      </c>
      <c r="E3" s="37">
        <v>59</v>
      </c>
      <c r="F3" s="9">
        <f t="shared" ref="F3:F8" si="0">SUM(B3:E3)</f>
        <v>299.5</v>
      </c>
      <c r="G3" s="9">
        <f t="shared" ref="G3:G8" si="1">AVERAGE(B3:E3)</f>
        <v>74.875</v>
      </c>
      <c r="H3" s="9"/>
      <c r="I3" s="7"/>
      <c r="J3" s="3" t="s">
        <v>5</v>
      </c>
      <c r="K3" s="4">
        <f>F9^2/J13</f>
        <v>217551.04166666666</v>
      </c>
      <c r="N3" s="50" t="s">
        <v>0</v>
      </c>
      <c r="O3" s="50" t="s">
        <v>33</v>
      </c>
    </row>
    <row r="4" spans="1:17" ht="15.5" x14ac:dyDescent="0.35">
      <c r="A4" s="8" t="s">
        <v>6</v>
      </c>
      <c r="B4" s="39">
        <v>81.5</v>
      </c>
      <c r="C4" s="37">
        <v>113</v>
      </c>
      <c r="D4" s="37">
        <v>73</v>
      </c>
      <c r="E4" s="37">
        <v>78</v>
      </c>
      <c r="F4" s="9">
        <f t="shared" si="0"/>
        <v>345.5</v>
      </c>
      <c r="G4" s="9">
        <f t="shared" si="1"/>
        <v>86.375</v>
      </c>
      <c r="H4" s="9"/>
      <c r="I4" s="7"/>
      <c r="J4" s="10" t="s">
        <v>7</v>
      </c>
      <c r="K4" s="9">
        <f>SUMSQ(F3:F8)/J12-K3</f>
        <v>3006.458333333343</v>
      </c>
      <c r="N4" s="8" t="s">
        <v>4</v>
      </c>
      <c r="O4" s="54">
        <f>G3</f>
        <v>74.875</v>
      </c>
      <c r="P4" t="s">
        <v>29</v>
      </c>
      <c r="Q4" s="18"/>
    </row>
    <row r="5" spans="1:17" ht="15.5" x14ac:dyDescent="0.35">
      <c r="A5" s="8" t="s">
        <v>8</v>
      </c>
      <c r="B5" s="39">
        <v>92.5</v>
      </c>
      <c r="C5" s="37">
        <v>93.5</v>
      </c>
      <c r="D5" s="37">
        <v>98.5</v>
      </c>
      <c r="E5" s="37">
        <v>102</v>
      </c>
      <c r="F5" s="9">
        <f t="shared" si="0"/>
        <v>386.5</v>
      </c>
      <c r="G5" s="9">
        <f t="shared" si="1"/>
        <v>96.625</v>
      </c>
      <c r="H5" s="9"/>
      <c r="I5" s="7"/>
      <c r="J5" s="3" t="s">
        <v>9</v>
      </c>
      <c r="K5" s="43">
        <f>SUMSQ(B3:E8)-K3</f>
        <v>6024.958333333343</v>
      </c>
      <c r="N5" s="8" t="s">
        <v>6</v>
      </c>
      <c r="O5" s="11">
        <f t="shared" ref="O5:O9" si="2">G4</f>
        <v>86.375</v>
      </c>
      <c r="P5" t="s">
        <v>29</v>
      </c>
    </row>
    <row r="6" spans="1:17" ht="15.5" x14ac:dyDescent="0.35">
      <c r="A6" s="8" t="s">
        <v>10</v>
      </c>
      <c r="B6" s="39">
        <v>99.5</v>
      </c>
      <c r="C6" s="37">
        <v>113</v>
      </c>
      <c r="D6" s="37">
        <v>100.5</v>
      </c>
      <c r="E6" s="37">
        <v>101</v>
      </c>
      <c r="F6" s="9">
        <f t="shared" si="0"/>
        <v>414</v>
      </c>
      <c r="G6" s="9">
        <f t="shared" si="1"/>
        <v>103.5</v>
      </c>
      <c r="H6" s="9"/>
      <c r="I6" s="7"/>
      <c r="J6" s="3" t="s">
        <v>11</v>
      </c>
      <c r="K6" s="43">
        <f>SUMSQ(B9:E9)/J11-K3</f>
        <v>1159.208333333343</v>
      </c>
      <c r="N6" s="8" t="s">
        <v>8</v>
      </c>
      <c r="O6" s="11">
        <f t="shared" si="2"/>
        <v>96.625</v>
      </c>
      <c r="P6" s="18" t="s">
        <v>30</v>
      </c>
    </row>
    <row r="7" spans="1:17" ht="15.5" x14ac:dyDescent="0.35">
      <c r="A7" s="8" t="s">
        <v>12</v>
      </c>
      <c r="B7" s="39">
        <v>127</v>
      </c>
      <c r="C7" s="37">
        <v>120</v>
      </c>
      <c r="D7" s="37">
        <v>86</v>
      </c>
      <c r="E7" s="37">
        <v>86</v>
      </c>
      <c r="F7" s="9">
        <f t="shared" si="0"/>
        <v>419</v>
      </c>
      <c r="G7" s="9">
        <f t="shared" si="1"/>
        <v>104.75</v>
      </c>
      <c r="H7" s="9"/>
      <c r="I7" s="7"/>
      <c r="J7" s="3" t="s">
        <v>13</v>
      </c>
      <c r="K7" s="12">
        <f>SQRT(D16)/G9*100</f>
        <v>14.899613329506799</v>
      </c>
      <c r="N7" s="8" t="s">
        <v>10</v>
      </c>
      <c r="O7" s="11">
        <f t="shared" si="2"/>
        <v>103.5</v>
      </c>
      <c r="P7" t="s">
        <v>30</v>
      </c>
    </row>
    <row r="8" spans="1:17" ht="15.5" x14ac:dyDescent="0.35">
      <c r="A8" s="8" t="s">
        <v>27</v>
      </c>
      <c r="B8" s="39">
        <v>105</v>
      </c>
      <c r="C8" s="37">
        <v>111</v>
      </c>
      <c r="D8" s="37">
        <v>100.5</v>
      </c>
      <c r="E8" s="37">
        <v>104</v>
      </c>
      <c r="F8" s="9">
        <f t="shared" si="0"/>
        <v>420.5</v>
      </c>
      <c r="G8" s="9">
        <f t="shared" si="1"/>
        <v>105.125</v>
      </c>
      <c r="H8" s="9"/>
      <c r="I8" s="7"/>
      <c r="J8" s="3"/>
      <c r="K8" s="12"/>
      <c r="N8" s="8" t="s">
        <v>12</v>
      </c>
      <c r="O8" s="11">
        <f t="shared" si="2"/>
        <v>104.75</v>
      </c>
      <c r="P8" t="s">
        <v>30</v>
      </c>
    </row>
    <row r="9" spans="1:17" ht="15.5" x14ac:dyDescent="0.35">
      <c r="A9" s="61" t="s">
        <v>2</v>
      </c>
      <c r="B9" s="62">
        <f>SUM(B3:B8)</f>
        <v>589.5</v>
      </c>
      <c r="C9" s="62">
        <f>SUM(C3:C8)</f>
        <v>631</v>
      </c>
      <c r="D9" s="62">
        <f>SUM(D3:D8)</f>
        <v>534.5</v>
      </c>
      <c r="E9" s="62">
        <f>SUM(E3:E8)</f>
        <v>530</v>
      </c>
      <c r="F9" s="62">
        <f>SUM(F3:F8)</f>
        <v>2285</v>
      </c>
      <c r="G9" s="62">
        <f>AVERAGE(G3:G8)</f>
        <v>95.208333333333329</v>
      </c>
      <c r="H9" s="29"/>
      <c r="J9" s="3"/>
      <c r="K9" s="14"/>
      <c r="N9" s="8" t="s">
        <v>27</v>
      </c>
      <c r="O9" s="46">
        <f t="shared" si="2"/>
        <v>105.125</v>
      </c>
      <c r="P9" t="s">
        <v>30</v>
      </c>
    </row>
    <row r="10" spans="1:17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  <c r="N10" s="55" t="s">
        <v>22</v>
      </c>
      <c r="O10" s="11">
        <v>19.54</v>
      </c>
    </row>
    <row r="11" spans="1:17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7"/>
      <c r="N11" s="37"/>
      <c r="O11" s="37"/>
    </row>
    <row r="12" spans="1:17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68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7"/>
      <c r="N12" s="37"/>
      <c r="O12" s="37"/>
    </row>
    <row r="13" spans="1:17" ht="15.5" x14ac:dyDescent="0.35">
      <c r="A13" s="69"/>
      <c r="B13" s="69"/>
      <c r="C13" s="69"/>
      <c r="D13" s="69"/>
      <c r="E13" s="69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</row>
    <row r="14" spans="1:17" ht="15.5" x14ac:dyDescent="0.35">
      <c r="A14" s="21" t="s">
        <v>19</v>
      </c>
      <c r="B14" s="21">
        <v>3</v>
      </c>
      <c r="C14" s="31">
        <f>+K6</f>
        <v>1159.208333333343</v>
      </c>
      <c r="D14" s="9">
        <f>C14/B14</f>
        <v>386.40277777778101</v>
      </c>
      <c r="E14" s="9">
        <f>D14/D16</f>
        <v>1.9201728231461705</v>
      </c>
      <c r="F14" s="9">
        <v>3.29</v>
      </c>
      <c r="G14" s="9">
        <v>5.42</v>
      </c>
      <c r="H14" s="22" t="s">
        <v>20</v>
      </c>
      <c r="K14" s="23"/>
      <c r="L14" s="39"/>
      <c r="M14" s="37"/>
      <c r="N14" s="37"/>
      <c r="O14" s="37"/>
    </row>
    <row r="15" spans="1:17" ht="15.5" x14ac:dyDescent="0.35">
      <c r="A15" s="21" t="s">
        <v>0</v>
      </c>
      <c r="B15" s="21">
        <v>5</v>
      </c>
      <c r="C15" s="31">
        <f>+K4</f>
        <v>3006.458333333343</v>
      </c>
      <c r="D15" s="9">
        <f>C15/B15</f>
        <v>601.29166666666856</v>
      </c>
      <c r="E15" s="9">
        <f>D15/D16</f>
        <v>2.9880321351664829</v>
      </c>
      <c r="F15" s="9">
        <v>2.9</v>
      </c>
      <c r="G15" s="9">
        <v>4.5599999999999996</v>
      </c>
      <c r="H15" s="22" t="s">
        <v>28</v>
      </c>
      <c r="I15" s="24" t="s">
        <v>22</v>
      </c>
      <c r="J15" s="25">
        <f>J16*J17</f>
        <v>16.313524552754785</v>
      </c>
      <c r="K15" s="23"/>
      <c r="L15" s="39"/>
      <c r="M15" s="37"/>
      <c r="N15" s="37"/>
      <c r="O15" s="37"/>
    </row>
    <row r="16" spans="1:17" ht="15.5" x14ac:dyDescent="0.35">
      <c r="A16" s="26" t="s">
        <v>23</v>
      </c>
      <c r="B16" s="26">
        <f>B14*B15</f>
        <v>15</v>
      </c>
      <c r="C16" s="42">
        <f>C17-C15</f>
        <v>3018.5</v>
      </c>
      <c r="D16" s="27">
        <f>C16/B16</f>
        <v>201.23333333333332</v>
      </c>
      <c r="E16" s="9"/>
      <c r="F16" s="9"/>
      <c r="G16" s="28"/>
      <c r="H16" s="28"/>
      <c r="I16" s="24" t="s">
        <v>24</v>
      </c>
      <c r="J16" s="25">
        <v>4.5999999999999996</v>
      </c>
      <c r="K16" s="23"/>
      <c r="L16" s="39"/>
      <c r="M16" s="37"/>
      <c r="N16" s="37"/>
      <c r="O16" s="37"/>
    </row>
    <row r="17" spans="1:15" ht="15.5" x14ac:dyDescent="0.35">
      <c r="A17" s="26" t="s">
        <v>2</v>
      </c>
      <c r="B17" s="26">
        <f>SUM(B14:B16)</f>
        <v>23</v>
      </c>
      <c r="C17" s="42">
        <f>+K5</f>
        <v>6024.958333333343</v>
      </c>
      <c r="D17" s="27"/>
      <c r="E17" s="35"/>
      <c r="F17" s="32"/>
      <c r="G17" s="36"/>
      <c r="I17" s="24" t="s">
        <v>25</v>
      </c>
      <c r="J17" s="25">
        <f>SQRT(D16)/4</f>
        <v>3.5464183810336496</v>
      </c>
      <c r="L17" s="39"/>
      <c r="M17" s="37"/>
      <c r="N17" s="37"/>
      <c r="O17" s="37"/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"/>
  <sheetViews>
    <sheetView workbookViewId="0">
      <selection activeCell="G13" sqref="G13"/>
    </sheetView>
  </sheetViews>
  <sheetFormatPr defaultRowHeight="14.5" x14ac:dyDescent="0.35"/>
  <cols>
    <col min="1" max="1" width="13.26953125" customWidth="1"/>
    <col min="9" max="9" width="11.54296875" customWidth="1"/>
  </cols>
  <sheetData>
    <row r="1" spans="1:17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7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69"/>
      <c r="G2" s="69"/>
      <c r="H2" s="17"/>
      <c r="I2" s="7"/>
      <c r="J2" s="3"/>
      <c r="K2" s="4"/>
    </row>
    <row r="3" spans="1:17" ht="15.5" x14ac:dyDescent="0.35">
      <c r="A3" s="8" t="s">
        <v>4</v>
      </c>
      <c r="B3" s="39">
        <v>35</v>
      </c>
      <c r="C3" s="37">
        <v>34</v>
      </c>
      <c r="D3" s="37">
        <v>34</v>
      </c>
      <c r="E3" s="37">
        <v>35</v>
      </c>
      <c r="F3" s="9">
        <f t="shared" ref="F3" si="0">SUM(B3:E3)</f>
        <v>138</v>
      </c>
      <c r="G3" s="9">
        <f t="shared" ref="G3:G8" si="1">AVERAGE(B3:E3)</f>
        <v>34.5</v>
      </c>
      <c r="H3" s="9"/>
      <c r="I3" s="7"/>
      <c r="J3" s="3" t="s">
        <v>5</v>
      </c>
      <c r="K3" s="4">
        <f>F9^2/J13</f>
        <v>26004.166666666668</v>
      </c>
      <c r="N3" t="s">
        <v>0</v>
      </c>
      <c r="O3" t="s">
        <v>33</v>
      </c>
    </row>
    <row r="4" spans="1:17" ht="15.5" x14ac:dyDescent="0.35">
      <c r="A4" s="8" t="s">
        <v>6</v>
      </c>
      <c r="B4" s="39">
        <v>33</v>
      </c>
      <c r="C4" s="37">
        <v>33</v>
      </c>
      <c r="D4" s="37">
        <v>34</v>
      </c>
      <c r="E4" s="37">
        <v>34</v>
      </c>
      <c r="F4" s="9">
        <f t="shared" ref="F4:F8" si="2">SUM(B4:E4)</f>
        <v>134</v>
      </c>
      <c r="G4" s="9">
        <f t="shared" si="1"/>
        <v>33.5</v>
      </c>
      <c r="H4" s="9"/>
      <c r="I4" s="7"/>
      <c r="J4" s="10" t="s">
        <v>7</v>
      </c>
      <c r="K4" s="9">
        <f>SUMSQ(F3:F8)/J12-K3</f>
        <v>22.833333333332121</v>
      </c>
      <c r="N4" s="8" t="s">
        <v>4</v>
      </c>
      <c r="O4" s="11">
        <f>G3</f>
        <v>34.5</v>
      </c>
      <c r="P4" t="s">
        <v>31</v>
      </c>
      <c r="Q4" s="18"/>
    </row>
    <row r="5" spans="1:17" ht="15.5" x14ac:dyDescent="0.35">
      <c r="A5" s="8" t="s">
        <v>8</v>
      </c>
      <c r="B5" s="39">
        <v>33</v>
      </c>
      <c r="C5" s="37">
        <v>33</v>
      </c>
      <c r="D5" s="37">
        <v>34</v>
      </c>
      <c r="E5" s="37">
        <v>34</v>
      </c>
      <c r="F5" s="9">
        <f t="shared" si="2"/>
        <v>134</v>
      </c>
      <c r="G5" s="9">
        <f t="shared" si="1"/>
        <v>33.5</v>
      </c>
      <c r="H5" s="9"/>
      <c r="I5" s="7"/>
      <c r="J5" s="3" t="s">
        <v>9</v>
      </c>
      <c r="K5" s="12">
        <f>SUMSQ(B3:E8)-K3</f>
        <v>37.833333333332121</v>
      </c>
      <c r="N5" s="8" t="s">
        <v>6</v>
      </c>
      <c r="O5" s="11">
        <f>G4</f>
        <v>33.5</v>
      </c>
      <c r="P5" s="18" t="s">
        <v>30</v>
      </c>
      <c r="Q5" s="18"/>
    </row>
    <row r="6" spans="1:17" ht="15.5" x14ac:dyDescent="0.35">
      <c r="A6" s="8" t="s">
        <v>10</v>
      </c>
      <c r="B6" s="39">
        <v>31</v>
      </c>
      <c r="C6" s="37">
        <v>31</v>
      </c>
      <c r="D6" s="37">
        <v>33</v>
      </c>
      <c r="E6" s="37">
        <v>33</v>
      </c>
      <c r="F6" s="9">
        <f t="shared" si="2"/>
        <v>128</v>
      </c>
      <c r="G6" s="9">
        <f t="shared" si="1"/>
        <v>32</v>
      </c>
      <c r="H6" s="9"/>
      <c r="I6" s="7"/>
      <c r="J6" s="3" t="s">
        <v>11</v>
      </c>
      <c r="K6" s="12">
        <f>SUMSQ(B9:E9)/J11-K3</f>
        <v>10.833333333332121</v>
      </c>
      <c r="N6" s="8" t="s">
        <v>8</v>
      </c>
      <c r="O6" s="11">
        <f t="shared" ref="O6:O8" si="3">G5</f>
        <v>33.5</v>
      </c>
      <c r="P6" s="18" t="s">
        <v>30</v>
      </c>
      <c r="Q6" s="18"/>
    </row>
    <row r="7" spans="1:17" ht="15.5" x14ac:dyDescent="0.35">
      <c r="A7" s="8" t="s">
        <v>12</v>
      </c>
      <c r="B7" s="39">
        <v>31</v>
      </c>
      <c r="C7" s="37">
        <v>31</v>
      </c>
      <c r="D7" s="37">
        <v>33</v>
      </c>
      <c r="E7" s="37">
        <v>33</v>
      </c>
      <c r="F7" s="9">
        <f t="shared" si="2"/>
        <v>128</v>
      </c>
      <c r="G7" s="9">
        <f t="shared" si="1"/>
        <v>32</v>
      </c>
      <c r="H7" s="9"/>
      <c r="I7" s="7"/>
      <c r="J7" s="3" t="s">
        <v>13</v>
      </c>
      <c r="K7" s="12">
        <f>SQRT(D16)/G9*100</f>
        <v>3.037974683544304</v>
      </c>
      <c r="N7" s="8" t="s">
        <v>10</v>
      </c>
      <c r="O7" s="11">
        <f t="shared" si="3"/>
        <v>32</v>
      </c>
      <c r="P7" s="18" t="s">
        <v>29</v>
      </c>
      <c r="Q7" s="18"/>
    </row>
    <row r="8" spans="1:17" ht="15.5" x14ac:dyDescent="0.35">
      <c r="A8" s="8" t="s">
        <v>27</v>
      </c>
      <c r="B8" s="40">
        <v>31</v>
      </c>
      <c r="C8" s="41">
        <v>31</v>
      </c>
      <c r="D8" s="41">
        <v>33</v>
      </c>
      <c r="E8" s="41">
        <v>33</v>
      </c>
      <c r="F8" s="9">
        <f t="shared" si="2"/>
        <v>128</v>
      </c>
      <c r="G8" s="9">
        <f t="shared" si="1"/>
        <v>32</v>
      </c>
      <c r="H8" s="9"/>
      <c r="I8" s="7"/>
      <c r="J8" s="3"/>
      <c r="K8" s="12"/>
      <c r="N8" s="8" t="s">
        <v>12</v>
      </c>
      <c r="O8" s="11">
        <f t="shared" si="3"/>
        <v>32</v>
      </c>
      <c r="P8" s="18" t="s">
        <v>29</v>
      </c>
    </row>
    <row r="9" spans="1:17" ht="15.5" x14ac:dyDescent="0.35">
      <c r="A9" s="61" t="s">
        <v>2</v>
      </c>
      <c r="B9" s="13">
        <f>SUM(B3:B8)</f>
        <v>194</v>
      </c>
      <c r="C9" s="13">
        <f>SUM(C3:C8)</f>
        <v>193</v>
      </c>
      <c r="D9" s="13">
        <f>SUM(D3:D8)</f>
        <v>201</v>
      </c>
      <c r="E9" s="13">
        <f>SUM(E3:E8)</f>
        <v>202</v>
      </c>
      <c r="F9" s="62">
        <f>SUM(F3:F8)</f>
        <v>790</v>
      </c>
      <c r="G9" s="62">
        <f>AVERAGE(G3:G8)</f>
        <v>32.916666666666664</v>
      </c>
      <c r="H9" s="29"/>
      <c r="J9" s="3"/>
      <c r="K9" s="14"/>
      <c r="N9" s="8" t="s">
        <v>27</v>
      </c>
      <c r="O9" s="11">
        <f>G8</f>
        <v>32</v>
      </c>
      <c r="P9" s="18" t="s">
        <v>29</v>
      </c>
      <c r="Q9" s="18"/>
    </row>
    <row r="10" spans="1:17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  <c r="N10" s="8" t="s">
        <v>22</v>
      </c>
      <c r="O10" s="11">
        <v>2.0299999999999998</v>
      </c>
    </row>
    <row r="11" spans="1:17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7"/>
      <c r="N11" s="37"/>
      <c r="O11" s="37"/>
    </row>
    <row r="12" spans="1:17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68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7"/>
      <c r="N12" s="37"/>
      <c r="O12" s="37"/>
    </row>
    <row r="13" spans="1:17" ht="15.5" x14ac:dyDescent="0.35">
      <c r="A13" s="69"/>
      <c r="B13" s="69"/>
      <c r="C13" s="69"/>
      <c r="D13" s="69"/>
      <c r="E13" s="69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</row>
    <row r="14" spans="1:17" ht="15.5" x14ac:dyDescent="0.35">
      <c r="A14" s="21" t="s">
        <v>19</v>
      </c>
      <c r="B14" s="21">
        <v>3</v>
      </c>
      <c r="C14" s="9">
        <f>+K6</f>
        <v>10.833333333332121</v>
      </c>
      <c r="D14" s="9">
        <f>C14/B14</f>
        <v>3.611111111110707</v>
      </c>
      <c r="E14" s="9">
        <f>D14/D16</f>
        <v>3.611111111110707</v>
      </c>
      <c r="F14" s="9">
        <v>3.29</v>
      </c>
      <c r="G14" s="9">
        <v>5.42</v>
      </c>
      <c r="H14" s="22" t="s">
        <v>28</v>
      </c>
      <c r="K14" s="23"/>
      <c r="L14" s="39"/>
      <c r="M14" s="37"/>
      <c r="N14" s="37"/>
      <c r="O14" s="37"/>
    </row>
    <row r="15" spans="1:17" ht="15.5" x14ac:dyDescent="0.35">
      <c r="A15" s="21" t="s">
        <v>0</v>
      </c>
      <c r="B15" s="21">
        <v>5</v>
      </c>
      <c r="C15" s="9">
        <f>+K4</f>
        <v>22.833333333332121</v>
      </c>
      <c r="D15" s="9">
        <f>C15/B15</f>
        <v>4.566666666666424</v>
      </c>
      <c r="E15" s="9">
        <f>D15/D16</f>
        <v>4.566666666666424</v>
      </c>
      <c r="F15" s="9">
        <v>2.9</v>
      </c>
      <c r="G15" s="9">
        <v>4.5599999999999996</v>
      </c>
      <c r="H15" s="22" t="s">
        <v>21</v>
      </c>
      <c r="I15" s="24" t="s">
        <v>22</v>
      </c>
      <c r="J15" s="25">
        <f>J16*J17</f>
        <v>1.1499999999999999</v>
      </c>
      <c r="K15" s="23"/>
      <c r="L15" s="39"/>
      <c r="M15" s="37"/>
      <c r="N15" s="37"/>
      <c r="O15" s="37"/>
    </row>
    <row r="16" spans="1:17" ht="15.5" x14ac:dyDescent="0.35">
      <c r="A16" s="26" t="s">
        <v>23</v>
      </c>
      <c r="B16" s="26">
        <f>B14*B15</f>
        <v>15</v>
      </c>
      <c r="C16" s="42">
        <f>C17-C15</f>
        <v>15</v>
      </c>
      <c r="D16" s="27">
        <f>C16/B16</f>
        <v>1</v>
      </c>
      <c r="E16" s="9"/>
      <c r="F16" s="9"/>
      <c r="G16" s="28"/>
      <c r="H16" s="28"/>
      <c r="I16" s="24" t="s">
        <v>24</v>
      </c>
      <c r="J16" s="25">
        <v>4.5999999999999996</v>
      </c>
      <c r="K16" s="23"/>
      <c r="L16" s="39"/>
      <c r="M16" s="37"/>
      <c r="N16" s="37"/>
      <c r="O16" s="37"/>
    </row>
    <row r="17" spans="1:15" ht="15.5" x14ac:dyDescent="0.35">
      <c r="A17" s="26" t="s">
        <v>2</v>
      </c>
      <c r="B17" s="26">
        <f>SUM(B14:B16)</f>
        <v>23</v>
      </c>
      <c r="C17" s="42">
        <f>+K5</f>
        <v>37.833333333332121</v>
      </c>
      <c r="D17" s="27"/>
      <c r="E17" s="35"/>
      <c r="F17" s="32"/>
      <c r="G17" s="36"/>
      <c r="I17" s="24" t="s">
        <v>25</v>
      </c>
      <c r="J17" s="25">
        <f>SQRT(D16)/4</f>
        <v>0.25</v>
      </c>
      <c r="L17" s="39"/>
      <c r="M17" s="37"/>
      <c r="N17" s="37"/>
      <c r="O17" s="37"/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7"/>
  <sheetViews>
    <sheetView workbookViewId="0">
      <selection activeCell="D18" sqref="D18"/>
    </sheetView>
  </sheetViews>
  <sheetFormatPr defaultRowHeight="14.5" x14ac:dyDescent="0.35"/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69"/>
      <c r="G2" s="69"/>
      <c r="H2" s="17"/>
      <c r="I2" s="7"/>
      <c r="J2" s="3"/>
      <c r="K2" s="4"/>
    </row>
    <row r="3" spans="1:16" ht="15.5" x14ac:dyDescent="0.35">
      <c r="A3" s="8" t="s">
        <v>4</v>
      </c>
      <c r="B3" s="39">
        <v>2</v>
      </c>
      <c r="C3" s="37">
        <v>2</v>
      </c>
      <c r="D3" s="37">
        <v>3.25</v>
      </c>
      <c r="E3" s="37">
        <v>6</v>
      </c>
      <c r="F3" s="9">
        <f t="shared" ref="F3:F8" si="0">SUM(B3:E3)</f>
        <v>13.25</v>
      </c>
      <c r="G3" s="9">
        <f t="shared" ref="G3:G8" si="1">AVERAGE(B3:E3)</f>
        <v>3.3125</v>
      </c>
      <c r="H3" s="9"/>
      <c r="I3" s="7"/>
      <c r="J3" s="3" t="s">
        <v>5</v>
      </c>
      <c r="K3" s="4">
        <f>F9^2/J13</f>
        <v>394.06510416666669</v>
      </c>
    </row>
    <row r="4" spans="1:16" ht="15.5" x14ac:dyDescent="0.35">
      <c r="A4" s="8" t="s">
        <v>6</v>
      </c>
      <c r="B4" s="39">
        <v>6</v>
      </c>
      <c r="C4" s="37">
        <v>3</v>
      </c>
      <c r="D4" s="37">
        <v>3.5</v>
      </c>
      <c r="E4" s="37">
        <v>2</v>
      </c>
      <c r="F4" s="9">
        <f t="shared" si="0"/>
        <v>14.5</v>
      </c>
      <c r="G4" s="9">
        <f t="shared" si="1"/>
        <v>3.625</v>
      </c>
      <c r="H4" s="9"/>
      <c r="I4" s="7"/>
      <c r="J4" s="10" t="s">
        <v>7</v>
      </c>
      <c r="K4" s="9">
        <f>SUMSQ(F3:F8)/J12-K3</f>
        <v>25.450520833333314</v>
      </c>
      <c r="N4" s="8" t="s">
        <v>4</v>
      </c>
      <c r="O4" s="11">
        <f>G3</f>
        <v>3.3125</v>
      </c>
      <c r="P4" t="s">
        <v>29</v>
      </c>
    </row>
    <row r="5" spans="1:16" ht="15.5" x14ac:dyDescent="0.35">
      <c r="A5" s="8" t="s">
        <v>8</v>
      </c>
      <c r="B5" s="39">
        <v>3</v>
      </c>
      <c r="C5" s="37">
        <v>4</v>
      </c>
      <c r="D5" s="37">
        <v>3.5</v>
      </c>
      <c r="E5" s="37">
        <v>3</v>
      </c>
      <c r="F5" s="9">
        <f t="shared" si="0"/>
        <v>13.5</v>
      </c>
      <c r="G5" s="9">
        <f t="shared" si="1"/>
        <v>3.375</v>
      </c>
      <c r="H5" s="9"/>
      <c r="I5" s="7"/>
      <c r="J5" s="3" t="s">
        <v>9</v>
      </c>
      <c r="K5" s="43">
        <f>SUMSQ(B3:E8)-K3</f>
        <v>51.997395833333314</v>
      </c>
      <c r="N5" s="8" t="s">
        <v>6</v>
      </c>
      <c r="O5" s="11">
        <f t="shared" ref="O5:O9" si="2">G4</f>
        <v>3.625</v>
      </c>
      <c r="P5" s="18" t="s">
        <v>29</v>
      </c>
    </row>
    <row r="6" spans="1:16" ht="15.5" x14ac:dyDescent="0.35">
      <c r="A6" s="8" t="s">
        <v>10</v>
      </c>
      <c r="B6" s="39">
        <v>4</v>
      </c>
      <c r="C6" s="37">
        <v>4</v>
      </c>
      <c r="D6" s="37">
        <v>3</v>
      </c>
      <c r="E6" s="37">
        <v>3</v>
      </c>
      <c r="F6" s="9">
        <f t="shared" si="0"/>
        <v>14</v>
      </c>
      <c r="G6" s="9">
        <f t="shared" si="1"/>
        <v>3.5</v>
      </c>
      <c r="H6" s="9"/>
      <c r="I6" s="7"/>
      <c r="J6" s="3" t="s">
        <v>11</v>
      </c>
      <c r="K6" s="43">
        <f>SUMSQ(B9:E9)/J11-K3</f>
        <v>0.6953125</v>
      </c>
      <c r="N6" s="8" t="s">
        <v>8</v>
      </c>
      <c r="O6" s="11">
        <f t="shared" si="2"/>
        <v>3.375</v>
      </c>
      <c r="P6" s="18" t="s">
        <v>29</v>
      </c>
    </row>
    <row r="7" spans="1:16" ht="15.5" x14ac:dyDescent="0.35">
      <c r="A7" s="8" t="s">
        <v>12</v>
      </c>
      <c r="B7" s="39">
        <v>4</v>
      </c>
      <c r="C7" s="37">
        <v>5</v>
      </c>
      <c r="D7" s="37">
        <v>4</v>
      </c>
      <c r="E7" s="37">
        <v>4</v>
      </c>
      <c r="F7" s="9">
        <f t="shared" si="0"/>
        <v>17</v>
      </c>
      <c r="G7" s="9">
        <f t="shared" si="1"/>
        <v>4.25</v>
      </c>
      <c r="H7" s="9"/>
      <c r="I7" s="7"/>
      <c r="J7" s="3" t="s">
        <v>13</v>
      </c>
      <c r="K7" s="12">
        <f>SQRT(D16)/G9*100</f>
        <v>32.830893675262523</v>
      </c>
      <c r="N7" s="8" t="s">
        <v>10</v>
      </c>
      <c r="O7" s="11">
        <f t="shared" si="2"/>
        <v>3.5</v>
      </c>
      <c r="P7" s="18" t="s">
        <v>30</v>
      </c>
    </row>
    <row r="8" spans="1:16" ht="15.5" x14ac:dyDescent="0.35">
      <c r="A8" s="8" t="s">
        <v>27</v>
      </c>
      <c r="B8" s="40">
        <v>5</v>
      </c>
      <c r="C8" s="41">
        <v>6</v>
      </c>
      <c r="D8" s="41">
        <v>6</v>
      </c>
      <c r="E8" s="41">
        <v>8</v>
      </c>
      <c r="F8" s="9">
        <f t="shared" si="0"/>
        <v>25</v>
      </c>
      <c r="G8" s="9">
        <f t="shared" si="1"/>
        <v>6.25</v>
      </c>
      <c r="H8" s="9"/>
      <c r="I8" s="7"/>
      <c r="J8" s="3"/>
      <c r="K8" s="12"/>
      <c r="N8" s="8" t="s">
        <v>12</v>
      </c>
      <c r="O8" s="11">
        <f t="shared" si="2"/>
        <v>4.25</v>
      </c>
      <c r="P8" s="18" t="s">
        <v>30</v>
      </c>
    </row>
    <row r="9" spans="1:16" ht="15.5" x14ac:dyDescent="0.35">
      <c r="A9" s="61" t="s">
        <v>2</v>
      </c>
      <c r="B9" s="13">
        <f>SUM(B3:B8)</f>
        <v>24</v>
      </c>
      <c r="C9" s="13">
        <f>SUM(C3:C8)</f>
        <v>24</v>
      </c>
      <c r="D9" s="13">
        <f>SUM(D3:D8)</f>
        <v>23.25</v>
      </c>
      <c r="E9" s="13">
        <f>SUM(E3:E8)</f>
        <v>26</v>
      </c>
      <c r="F9" s="62">
        <f>SUM(F3:F8)</f>
        <v>97.25</v>
      </c>
      <c r="G9" s="62">
        <f>AVERAGE(G3:G8)</f>
        <v>4.052083333333333</v>
      </c>
      <c r="H9" s="29"/>
      <c r="J9" s="3"/>
      <c r="K9" s="14"/>
      <c r="N9" s="8" t="s">
        <v>27</v>
      </c>
      <c r="O9" s="11">
        <f t="shared" si="2"/>
        <v>6.25</v>
      </c>
      <c r="P9" s="18" t="s">
        <v>31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7"/>
      <c r="N11" s="37"/>
      <c r="O11" s="37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72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7"/>
      <c r="N12" s="37"/>
      <c r="O12" s="37"/>
    </row>
    <row r="13" spans="1:16" ht="15.5" x14ac:dyDescent="0.35">
      <c r="A13" s="69"/>
      <c r="B13" s="69"/>
      <c r="C13" s="69"/>
      <c r="D13" s="69"/>
      <c r="E13" s="73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</row>
    <row r="14" spans="1:16" ht="15.5" x14ac:dyDescent="0.35">
      <c r="A14" s="21" t="s">
        <v>19</v>
      </c>
      <c r="B14" s="21">
        <v>3</v>
      </c>
      <c r="C14" s="31">
        <f>+K6</f>
        <v>0.6953125</v>
      </c>
      <c r="D14" s="9">
        <f>C14/B14</f>
        <v>0.23177083333333334</v>
      </c>
      <c r="E14" s="9">
        <f>D14/D16</f>
        <v>0.13095938787522071</v>
      </c>
      <c r="F14" s="9">
        <v>3.29</v>
      </c>
      <c r="G14" s="9">
        <v>5.42</v>
      </c>
      <c r="H14" s="22" t="s">
        <v>20</v>
      </c>
      <c r="K14" s="23"/>
      <c r="L14" s="39"/>
      <c r="M14" s="37"/>
      <c r="N14" s="37"/>
      <c r="O14" s="37"/>
    </row>
    <row r="15" spans="1:16" ht="15.5" x14ac:dyDescent="0.35">
      <c r="A15" s="21" t="s">
        <v>0</v>
      </c>
      <c r="B15" s="21">
        <v>5</v>
      </c>
      <c r="C15" s="31">
        <f>+K4</f>
        <v>25.450520833333314</v>
      </c>
      <c r="D15" s="9">
        <f>C15/B15</f>
        <v>5.0901041666666629</v>
      </c>
      <c r="E15" s="9">
        <f>D15/D16</f>
        <v>2.8761035903472609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1.529885446419655</v>
      </c>
      <c r="K15" s="23"/>
      <c r="L15" s="39"/>
      <c r="M15" s="37"/>
      <c r="N15" s="37"/>
      <c r="O15" s="37"/>
    </row>
    <row r="16" spans="1:16" ht="15.5" x14ac:dyDescent="0.35">
      <c r="A16" s="26" t="s">
        <v>23</v>
      </c>
      <c r="B16" s="26">
        <f>B14*B15</f>
        <v>15</v>
      </c>
      <c r="C16" s="42">
        <f>C17-C15</f>
        <v>26.546875</v>
      </c>
      <c r="D16" s="27">
        <f>C16/B16</f>
        <v>1.7697916666666667</v>
      </c>
      <c r="E16" s="9"/>
      <c r="F16" s="9"/>
      <c r="G16" s="28"/>
      <c r="H16" s="28"/>
      <c r="I16" s="24" t="s">
        <v>24</v>
      </c>
      <c r="J16" s="25">
        <v>4.5999999999999996</v>
      </c>
      <c r="K16" s="23"/>
      <c r="L16" s="39"/>
      <c r="M16" s="37"/>
      <c r="N16" s="37"/>
      <c r="O16" s="37"/>
    </row>
    <row r="17" spans="1:15" ht="15.5" x14ac:dyDescent="0.35">
      <c r="A17" s="26" t="s">
        <v>2</v>
      </c>
      <c r="B17" s="26">
        <f>SUM(B14:B16)</f>
        <v>23</v>
      </c>
      <c r="C17" s="42">
        <f>+K5</f>
        <v>51.997395833333314</v>
      </c>
      <c r="D17" s="27"/>
      <c r="E17" s="35"/>
      <c r="F17" s="32"/>
      <c r="G17" s="36"/>
      <c r="I17" s="24" t="s">
        <v>25</v>
      </c>
      <c r="J17" s="25">
        <f>SQRT(D16)/4</f>
        <v>0.332583792699925</v>
      </c>
      <c r="L17" s="39"/>
      <c r="M17" s="37"/>
      <c r="N17" s="37"/>
      <c r="O17" s="37"/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7"/>
  <sheetViews>
    <sheetView workbookViewId="0">
      <selection activeCell="G13" sqref="G13"/>
    </sheetView>
  </sheetViews>
  <sheetFormatPr defaultRowHeight="14.5" x14ac:dyDescent="0.35"/>
  <cols>
    <col min="1" max="1" width="11.26953125" customWidth="1"/>
    <col min="16" max="16" width="8.726562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">
        <v>1</v>
      </c>
      <c r="C2" s="6">
        <v>2</v>
      </c>
      <c r="D2" s="6">
        <v>3</v>
      </c>
      <c r="E2" s="5">
        <v>4</v>
      </c>
      <c r="F2" s="69"/>
      <c r="G2" s="69"/>
      <c r="H2" s="17"/>
      <c r="I2" s="7"/>
      <c r="J2" s="3"/>
      <c r="K2" s="4"/>
    </row>
    <row r="3" spans="1:16" ht="15.5" x14ac:dyDescent="0.35">
      <c r="A3" s="8" t="s">
        <v>4</v>
      </c>
      <c r="B3" s="39">
        <v>4</v>
      </c>
      <c r="C3" s="37">
        <v>2.5</v>
      </c>
      <c r="D3" s="37">
        <v>2</v>
      </c>
      <c r="E3" s="37">
        <v>2</v>
      </c>
      <c r="F3" s="9">
        <f t="shared" ref="F3:F8" si="0">SUM(B3:E3)</f>
        <v>10.5</v>
      </c>
      <c r="G3" s="9">
        <f t="shared" ref="G3:G8" si="1">AVERAGE(B3:E3)</f>
        <v>2.625</v>
      </c>
      <c r="H3" s="9"/>
      <c r="I3" s="7"/>
      <c r="J3" s="3" t="s">
        <v>5</v>
      </c>
      <c r="K3" s="4">
        <f>F9^2/J13</f>
        <v>415.41760416666671</v>
      </c>
      <c r="N3" t="s">
        <v>0</v>
      </c>
      <c r="O3" s="66" t="s">
        <v>33</v>
      </c>
      <c r="P3" s="67"/>
    </row>
    <row r="4" spans="1:16" ht="15.5" x14ac:dyDescent="0.35">
      <c r="A4" s="8" t="s">
        <v>6</v>
      </c>
      <c r="B4" s="39">
        <v>4.5</v>
      </c>
      <c r="C4" s="37">
        <v>4.5</v>
      </c>
      <c r="D4" s="37">
        <v>2</v>
      </c>
      <c r="E4" s="37">
        <v>2.5</v>
      </c>
      <c r="F4" s="9">
        <f t="shared" si="0"/>
        <v>13.5</v>
      </c>
      <c r="G4" s="9">
        <f t="shared" si="1"/>
        <v>3.375</v>
      </c>
      <c r="H4" s="9"/>
      <c r="I4" s="7"/>
      <c r="J4" s="10" t="s">
        <v>7</v>
      </c>
      <c r="K4" s="9">
        <f>SUMSQ(F3:F8)/J12-K3</f>
        <v>22.153020833333244</v>
      </c>
      <c r="N4" s="8" t="s">
        <v>4</v>
      </c>
      <c r="O4" s="11">
        <f>G3</f>
        <v>2.625</v>
      </c>
      <c r="P4" t="s">
        <v>29</v>
      </c>
    </row>
    <row r="5" spans="1:16" ht="15.5" x14ac:dyDescent="0.35">
      <c r="A5" s="8" t="s">
        <v>8</v>
      </c>
      <c r="B5" s="39">
        <v>5.2</v>
      </c>
      <c r="C5" s="37">
        <v>5</v>
      </c>
      <c r="D5" s="37">
        <v>2.5</v>
      </c>
      <c r="E5" s="37">
        <v>3</v>
      </c>
      <c r="F5" s="9">
        <f t="shared" si="0"/>
        <v>15.7</v>
      </c>
      <c r="G5" s="9">
        <f t="shared" si="1"/>
        <v>3.9249999999999998</v>
      </c>
      <c r="H5" s="9"/>
      <c r="I5" s="7"/>
      <c r="J5" s="3" t="s">
        <v>9</v>
      </c>
      <c r="K5" s="43">
        <f>SUMSQ(B3:E8)-K3</f>
        <v>57.014895833333298</v>
      </c>
      <c r="N5" s="8" t="s">
        <v>6</v>
      </c>
      <c r="O5" s="11">
        <f t="shared" ref="O5:O9" si="2">G4</f>
        <v>3.375</v>
      </c>
      <c r="P5" s="18" t="s">
        <v>29</v>
      </c>
    </row>
    <row r="6" spans="1:16" ht="15.5" x14ac:dyDescent="0.35">
      <c r="A6" s="8" t="s">
        <v>10</v>
      </c>
      <c r="B6" s="39">
        <v>5.75</v>
      </c>
      <c r="C6" s="37">
        <v>6.2</v>
      </c>
      <c r="D6" s="37">
        <v>3</v>
      </c>
      <c r="E6" s="37">
        <v>3.5</v>
      </c>
      <c r="F6" s="9">
        <f t="shared" si="0"/>
        <v>18.45</v>
      </c>
      <c r="G6" s="9">
        <f t="shared" si="1"/>
        <v>4.6124999999999998</v>
      </c>
      <c r="H6" s="9"/>
      <c r="I6" s="7"/>
      <c r="J6" s="3" t="s">
        <v>11</v>
      </c>
      <c r="K6" s="43">
        <f>SUMSQ(B9:E9)/J11-K3</f>
        <v>31.804479166666624</v>
      </c>
      <c r="N6" s="8" t="s">
        <v>8</v>
      </c>
      <c r="O6" s="11">
        <f t="shared" si="2"/>
        <v>3.9249999999999998</v>
      </c>
      <c r="P6" s="18" t="s">
        <v>29</v>
      </c>
    </row>
    <row r="7" spans="1:16" ht="15.5" x14ac:dyDescent="0.35">
      <c r="A7" s="8" t="s">
        <v>12</v>
      </c>
      <c r="B7" s="39">
        <v>6</v>
      </c>
      <c r="C7" s="37">
        <v>6.5</v>
      </c>
      <c r="D7" s="37">
        <v>3.5</v>
      </c>
      <c r="E7" s="37">
        <v>4</v>
      </c>
      <c r="F7" s="9">
        <f t="shared" si="0"/>
        <v>20</v>
      </c>
      <c r="G7" s="9">
        <f t="shared" si="1"/>
        <v>5</v>
      </c>
      <c r="H7" s="9"/>
      <c r="I7" s="7"/>
      <c r="J7" s="3" t="s">
        <v>13</v>
      </c>
      <c r="K7" s="12">
        <f>SQRT(D16)/G9*100</f>
        <v>36.643159556789648</v>
      </c>
      <c r="N7" s="8" t="s">
        <v>10</v>
      </c>
      <c r="O7" s="11">
        <f t="shared" si="2"/>
        <v>4.6124999999999998</v>
      </c>
      <c r="P7" s="18" t="s">
        <v>30</v>
      </c>
    </row>
    <row r="8" spans="1:16" ht="15.5" x14ac:dyDescent="0.35">
      <c r="A8" s="8" t="s">
        <v>27</v>
      </c>
      <c r="B8" s="40">
        <v>6.5</v>
      </c>
      <c r="C8" s="41">
        <v>7</v>
      </c>
      <c r="D8" s="41">
        <v>4</v>
      </c>
      <c r="E8" s="41">
        <v>4.2</v>
      </c>
      <c r="F8" s="9">
        <f t="shared" si="0"/>
        <v>21.7</v>
      </c>
      <c r="G8" s="9">
        <f t="shared" si="1"/>
        <v>5.4249999999999998</v>
      </c>
      <c r="H8" s="9"/>
      <c r="I8" s="7"/>
      <c r="J8" s="3"/>
      <c r="K8" s="12"/>
      <c r="N8" s="8" t="s">
        <v>12</v>
      </c>
      <c r="O8" s="11">
        <f t="shared" si="2"/>
        <v>5</v>
      </c>
      <c r="P8" s="18" t="s">
        <v>30</v>
      </c>
    </row>
    <row r="9" spans="1:16" ht="15.5" x14ac:dyDescent="0.35">
      <c r="A9" s="61" t="s">
        <v>2</v>
      </c>
      <c r="B9" s="13">
        <f>SUM(B3:B8)</f>
        <v>31.95</v>
      </c>
      <c r="C9" s="13">
        <f>SUM(C3:C8)</f>
        <v>31.7</v>
      </c>
      <c r="D9" s="13">
        <f>SUM(D3:D8)</f>
        <v>17</v>
      </c>
      <c r="E9" s="13">
        <f>SUM(E3:E8)</f>
        <v>19.2</v>
      </c>
      <c r="F9" s="62">
        <f>SUM(F3:F8)</f>
        <v>99.850000000000009</v>
      </c>
      <c r="G9" s="62">
        <f>AVERAGE(G3:G8)</f>
        <v>4.1604166666666673</v>
      </c>
      <c r="H9" s="29"/>
      <c r="J9" s="3"/>
      <c r="K9" s="14"/>
      <c r="N9" s="8" t="s">
        <v>27</v>
      </c>
      <c r="O9" s="11">
        <f t="shared" si="2"/>
        <v>5.4249999999999998</v>
      </c>
      <c r="P9" s="18" t="s">
        <v>30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  <c r="N10" s="8" t="s">
        <v>22</v>
      </c>
      <c r="O10" s="56"/>
      <c r="P10" s="51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7"/>
      <c r="N11" s="37"/>
      <c r="O11" s="37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72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7"/>
      <c r="N12" s="37"/>
      <c r="O12" s="37"/>
    </row>
    <row r="13" spans="1:16" ht="15.5" x14ac:dyDescent="0.35">
      <c r="A13" s="69"/>
      <c r="B13" s="69"/>
      <c r="C13" s="69"/>
      <c r="D13" s="69"/>
      <c r="E13" s="73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</row>
    <row r="14" spans="1:16" ht="15.5" x14ac:dyDescent="0.35">
      <c r="A14" s="21" t="s">
        <v>19</v>
      </c>
      <c r="B14" s="21">
        <v>3</v>
      </c>
      <c r="C14" s="31">
        <f>+K6</f>
        <v>31.804479166666624</v>
      </c>
      <c r="D14" s="9">
        <f>C14/B14</f>
        <v>10.601493055555542</v>
      </c>
      <c r="E14" s="9">
        <f>D14/D16</f>
        <v>4.5614986524199539</v>
      </c>
      <c r="F14" s="9">
        <v>3.29</v>
      </c>
      <c r="G14" s="9">
        <v>5.42</v>
      </c>
      <c r="H14" s="22" t="s">
        <v>28</v>
      </c>
      <c r="K14" s="23"/>
      <c r="L14" s="39"/>
      <c r="M14" s="37"/>
      <c r="N14" s="37"/>
      <c r="O14" s="37"/>
    </row>
    <row r="15" spans="1:16" ht="15.5" x14ac:dyDescent="0.35">
      <c r="A15" s="21" t="s">
        <v>0</v>
      </c>
      <c r="B15" s="21">
        <v>5</v>
      </c>
      <c r="C15" s="31">
        <f>+K4</f>
        <v>22.153020833333244</v>
      </c>
      <c r="D15" s="9">
        <f>C15/B15</f>
        <v>4.4306041666666491</v>
      </c>
      <c r="E15" s="9">
        <f>D15/D16</f>
        <v>1.9063536456372365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1.7531843350030263</v>
      </c>
      <c r="K15" s="23"/>
      <c r="L15" s="39"/>
      <c r="M15" s="37"/>
      <c r="N15" s="37"/>
      <c r="O15" s="37"/>
    </row>
    <row r="16" spans="1:16" ht="15.5" x14ac:dyDescent="0.35">
      <c r="A16" s="26" t="s">
        <v>23</v>
      </c>
      <c r="B16" s="26">
        <f>B14*B15</f>
        <v>15</v>
      </c>
      <c r="C16" s="42">
        <f>C17-C15</f>
        <v>34.861875000000055</v>
      </c>
      <c r="D16" s="27">
        <f>C16/B16</f>
        <v>2.3241250000000035</v>
      </c>
      <c r="E16" s="9"/>
      <c r="F16" s="9"/>
      <c r="G16" s="28"/>
      <c r="H16" s="28"/>
      <c r="I16" s="24" t="s">
        <v>24</v>
      </c>
      <c r="J16" s="25">
        <v>4.5999999999999996</v>
      </c>
      <c r="K16" s="23"/>
      <c r="L16" s="39"/>
      <c r="M16" s="37"/>
      <c r="N16" s="37"/>
      <c r="O16" s="37"/>
    </row>
    <row r="17" spans="1:15" ht="15.5" x14ac:dyDescent="0.35">
      <c r="A17" s="26" t="s">
        <v>2</v>
      </c>
      <c r="B17" s="26">
        <f>SUM(B14:B16)</f>
        <v>23</v>
      </c>
      <c r="C17" s="42">
        <f>+K5</f>
        <v>57.014895833333298</v>
      </c>
      <c r="D17" s="27"/>
      <c r="E17" s="35"/>
      <c r="F17" s="32"/>
      <c r="G17" s="36"/>
      <c r="I17" s="24" t="s">
        <v>25</v>
      </c>
      <c r="J17" s="25">
        <f>SQRT(D16)/4</f>
        <v>0.38112702934848403</v>
      </c>
      <c r="L17" s="39"/>
      <c r="M17" s="37"/>
      <c r="N17" s="37"/>
      <c r="O17" s="37"/>
    </row>
  </sheetData>
  <mergeCells count="11">
    <mergeCell ref="O3:P3"/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7"/>
  <sheetViews>
    <sheetView workbookViewId="0">
      <selection activeCell="H14" sqref="H14"/>
    </sheetView>
  </sheetViews>
  <sheetFormatPr defaultRowHeight="14.5" x14ac:dyDescent="0.35"/>
  <cols>
    <col min="1" max="1" width="11.2695312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44">
        <v>1</v>
      </c>
      <c r="C2" s="44">
        <v>2</v>
      </c>
      <c r="D2" s="44">
        <v>3</v>
      </c>
      <c r="E2" s="17">
        <v>4</v>
      </c>
      <c r="F2" s="71"/>
      <c r="G2" s="71"/>
      <c r="H2" s="17"/>
      <c r="I2" s="7"/>
      <c r="J2" s="3"/>
      <c r="K2" s="4"/>
    </row>
    <row r="3" spans="1:16" ht="15.5" x14ac:dyDescent="0.35">
      <c r="A3" s="8" t="s">
        <v>4</v>
      </c>
      <c r="B3" s="39">
        <v>3</v>
      </c>
      <c r="C3" s="37">
        <v>2</v>
      </c>
      <c r="D3" s="37">
        <v>2</v>
      </c>
      <c r="E3" s="37">
        <v>2</v>
      </c>
      <c r="F3" s="9">
        <f t="shared" ref="F3:F8" si="0">SUM(B3:E3)</f>
        <v>9</v>
      </c>
      <c r="G3" s="9">
        <f t="shared" ref="G3:G8" si="1">AVERAGE(B3:E3)</f>
        <v>2.25</v>
      </c>
      <c r="H3" s="9"/>
      <c r="I3" s="7"/>
      <c r="J3" s="3" t="s">
        <v>5</v>
      </c>
      <c r="K3" s="4">
        <f>F9^2/J13</f>
        <v>296.80666666666667</v>
      </c>
    </row>
    <row r="4" spans="1:16" ht="15.5" x14ac:dyDescent="0.35">
      <c r="A4" s="8" t="s">
        <v>6</v>
      </c>
      <c r="B4" s="39">
        <v>3.5</v>
      </c>
      <c r="C4" s="37">
        <v>2.5</v>
      </c>
      <c r="D4" s="37">
        <v>2.5</v>
      </c>
      <c r="E4" s="37">
        <v>2.5</v>
      </c>
      <c r="F4" s="9">
        <f t="shared" si="0"/>
        <v>11</v>
      </c>
      <c r="G4" s="9">
        <f t="shared" si="1"/>
        <v>2.75</v>
      </c>
      <c r="H4" s="9"/>
      <c r="I4" s="7"/>
      <c r="J4" s="10" t="s">
        <v>7</v>
      </c>
      <c r="K4" s="9">
        <f>SUMSQ(F3:F8)/J12-K3</f>
        <v>17.258333333333326</v>
      </c>
      <c r="N4" s="8" t="s">
        <v>4</v>
      </c>
      <c r="O4" s="11">
        <f>G3</f>
        <v>2.25</v>
      </c>
      <c r="P4" t="s">
        <v>29</v>
      </c>
    </row>
    <row r="5" spans="1:16" ht="15.5" x14ac:dyDescent="0.35">
      <c r="A5" s="8" t="s">
        <v>8</v>
      </c>
      <c r="B5" s="39">
        <v>4</v>
      </c>
      <c r="C5" s="39">
        <v>3.5</v>
      </c>
      <c r="D5" s="37">
        <v>3</v>
      </c>
      <c r="E5" s="37">
        <v>3</v>
      </c>
      <c r="F5" s="9">
        <f t="shared" si="0"/>
        <v>13.5</v>
      </c>
      <c r="G5" s="9">
        <f t="shared" si="1"/>
        <v>3.375</v>
      </c>
      <c r="H5" s="9"/>
      <c r="I5" s="7"/>
      <c r="J5" s="3" t="s">
        <v>9</v>
      </c>
      <c r="K5" s="43">
        <f>SUMSQ(B3:E8)-K3</f>
        <v>20.573333333333323</v>
      </c>
      <c r="N5" s="8" t="s">
        <v>6</v>
      </c>
      <c r="O5" s="11">
        <f t="shared" ref="O5:O9" si="2">G4</f>
        <v>2.75</v>
      </c>
      <c r="P5" t="s">
        <v>29</v>
      </c>
    </row>
    <row r="6" spans="1:16" ht="15.5" x14ac:dyDescent="0.35">
      <c r="A6" s="8" t="s">
        <v>10</v>
      </c>
      <c r="B6" s="39">
        <v>4.2</v>
      </c>
      <c r="C6" s="37">
        <v>4</v>
      </c>
      <c r="D6" s="37">
        <v>3.5</v>
      </c>
      <c r="E6" s="37">
        <v>3.2</v>
      </c>
      <c r="F6" s="9">
        <f t="shared" si="0"/>
        <v>14.899999999999999</v>
      </c>
      <c r="G6" s="9">
        <f t="shared" si="1"/>
        <v>3.7249999999999996</v>
      </c>
      <c r="H6" s="9"/>
      <c r="I6" s="7"/>
      <c r="J6" s="3" t="s">
        <v>11</v>
      </c>
      <c r="K6" s="43">
        <f>SUMSQ(B9:E9)/J11-K3</f>
        <v>2.6566666666666379</v>
      </c>
      <c r="N6" s="8" t="s">
        <v>8</v>
      </c>
      <c r="O6" s="11">
        <f t="shared" si="2"/>
        <v>3.375</v>
      </c>
      <c r="P6" s="18" t="s">
        <v>30</v>
      </c>
    </row>
    <row r="7" spans="1:16" ht="15.5" x14ac:dyDescent="0.35">
      <c r="A7" s="8" t="s">
        <v>12</v>
      </c>
      <c r="B7" s="39">
        <v>4.5</v>
      </c>
      <c r="C7" s="37">
        <v>4.5</v>
      </c>
      <c r="D7" s="37">
        <v>4</v>
      </c>
      <c r="E7" s="37">
        <v>4</v>
      </c>
      <c r="F7" s="9">
        <f t="shared" si="0"/>
        <v>17</v>
      </c>
      <c r="G7" s="9">
        <f t="shared" si="1"/>
        <v>4.25</v>
      </c>
      <c r="H7" s="9"/>
      <c r="I7" s="7"/>
      <c r="J7" s="3" t="s">
        <v>13</v>
      </c>
      <c r="K7" s="12">
        <f>SQRT(D16)/G9*100</f>
        <v>13.367953676068039</v>
      </c>
      <c r="N7" s="8" t="s">
        <v>10</v>
      </c>
      <c r="O7" s="11">
        <f t="shared" si="2"/>
        <v>3.7249999999999996</v>
      </c>
      <c r="P7" t="s">
        <v>30</v>
      </c>
    </row>
    <row r="8" spans="1:16" ht="15.5" x14ac:dyDescent="0.35">
      <c r="A8" s="8" t="s">
        <v>27</v>
      </c>
      <c r="B8" s="39">
        <v>5</v>
      </c>
      <c r="C8" s="37">
        <v>5</v>
      </c>
      <c r="D8" s="37">
        <v>4.5</v>
      </c>
      <c r="E8" s="37">
        <v>4.5</v>
      </c>
      <c r="F8" s="9">
        <f t="shared" si="0"/>
        <v>19</v>
      </c>
      <c r="G8" s="9">
        <f t="shared" si="1"/>
        <v>4.75</v>
      </c>
      <c r="H8" s="9"/>
      <c r="I8" s="7"/>
      <c r="J8" s="3"/>
      <c r="K8" s="12"/>
      <c r="N8" s="8" t="s">
        <v>12</v>
      </c>
      <c r="O8" s="11">
        <f t="shared" si="2"/>
        <v>4.25</v>
      </c>
      <c r="P8" s="18" t="s">
        <v>30</v>
      </c>
    </row>
    <row r="9" spans="1:16" ht="15.5" x14ac:dyDescent="0.35">
      <c r="A9" s="61" t="s">
        <v>2</v>
      </c>
      <c r="B9" s="62">
        <f>SUM(B3:B8)</f>
        <v>24.2</v>
      </c>
      <c r="C9" s="62">
        <f>SUM(C3:C8)</f>
        <v>21.5</v>
      </c>
      <c r="D9" s="62">
        <f>SUM(D3:D8)</f>
        <v>19.5</v>
      </c>
      <c r="E9" s="62">
        <f>SUM(E3:E8)</f>
        <v>19.2</v>
      </c>
      <c r="F9" s="62">
        <f>SUM(F3:F8)</f>
        <v>84.4</v>
      </c>
      <c r="G9" s="62">
        <f>AVERAGE(G3:G8)</f>
        <v>3.5166666666666671</v>
      </c>
      <c r="H9" s="29"/>
      <c r="J9" s="3"/>
      <c r="K9" s="14"/>
      <c r="N9" s="8" t="s">
        <v>27</v>
      </c>
      <c r="O9" s="11">
        <f t="shared" si="2"/>
        <v>4.75</v>
      </c>
      <c r="P9" s="18" t="s">
        <v>31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7"/>
      <c r="N11" s="37"/>
      <c r="O11" s="37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72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7"/>
      <c r="N12" s="37"/>
      <c r="O12" s="37"/>
    </row>
    <row r="13" spans="1:16" ht="15.5" x14ac:dyDescent="0.35">
      <c r="A13" s="69"/>
      <c r="B13" s="69"/>
      <c r="C13" s="69"/>
      <c r="D13" s="69"/>
      <c r="E13" s="73"/>
      <c r="F13" s="33">
        <v>0.05</v>
      </c>
      <c r="G13" s="3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</row>
    <row r="14" spans="1:16" ht="15.5" x14ac:dyDescent="0.35">
      <c r="A14" s="21" t="s">
        <v>19</v>
      </c>
      <c r="B14" s="21">
        <v>3</v>
      </c>
      <c r="C14" s="31">
        <f>+K6</f>
        <v>2.6566666666666379</v>
      </c>
      <c r="D14" s="9">
        <f>C14/B14</f>
        <v>0.88555555555554599</v>
      </c>
      <c r="E14" s="9">
        <f>D14/D16</f>
        <v>4.0070387129210259</v>
      </c>
      <c r="F14" s="9">
        <v>3.29</v>
      </c>
      <c r="G14" s="9">
        <v>5.42</v>
      </c>
      <c r="H14" s="65" t="s">
        <v>28</v>
      </c>
      <c r="K14" s="23"/>
      <c r="L14" s="39"/>
      <c r="M14" s="37"/>
      <c r="N14" s="37"/>
      <c r="O14" s="37"/>
    </row>
    <row r="15" spans="1:16" ht="15.5" x14ac:dyDescent="0.35">
      <c r="A15" s="21" t="s">
        <v>0</v>
      </c>
      <c r="B15" s="21">
        <v>5</v>
      </c>
      <c r="C15" s="31">
        <f>+K4</f>
        <v>17.258333333333326</v>
      </c>
      <c r="D15" s="9">
        <f>C15/B15</f>
        <v>3.4516666666666653</v>
      </c>
      <c r="E15" s="9">
        <f>D15/D16</f>
        <v>15.618401206636506</v>
      </c>
      <c r="F15" s="9">
        <v>2.9</v>
      </c>
      <c r="G15" s="9">
        <v>4.5599999999999996</v>
      </c>
      <c r="H15" s="22" t="s">
        <v>21</v>
      </c>
      <c r="I15" s="24" t="s">
        <v>22</v>
      </c>
      <c r="J15" s="25">
        <f>J16*J17</f>
        <v>0.54062232658298504</v>
      </c>
      <c r="K15" s="23"/>
      <c r="L15" s="39"/>
      <c r="M15" s="37"/>
      <c r="N15" s="37"/>
      <c r="O15" s="37"/>
    </row>
    <row r="16" spans="1:16" ht="15.5" x14ac:dyDescent="0.35">
      <c r="A16" s="26" t="s">
        <v>23</v>
      </c>
      <c r="B16" s="26">
        <f>B14*B15</f>
        <v>15</v>
      </c>
      <c r="C16" s="42">
        <f>C17-C15</f>
        <v>3.3149999999999977</v>
      </c>
      <c r="D16" s="27">
        <f>C16/B16</f>
        <v>0.22099999999999984</v>
      </c>
      <c r="E16" s="9"/>
      <c r="F16" s="9"/>
      <c r="G16" s="28"/>
      <c r="H16" s="28"/>
      <c r="I16" s="24" t="s">
        <v>24</v>
      </c>
      <c r="J16" s="25">
        <v>4.5999999999999996</v>
      </c>
      <c r="K16" s="23"/>
      <c r="L16" s="39"/>
      <c r="M16" s="37"/>
      <c r="N16" s="37"/>
      <c r="O16" s="37"/>
    </row>
    <row r="17" spans="1:15" ht="15.5" x14ac:dyDescent="0.35">
      <c r="A17" s="26" t="s">
        <v>2</v>
      </c>
      <c r="B17" s="26">
        <f>SUM(B14:B16)</f>
        <v>23</v>
      </c>
      <c r="C17" s="42">
        <f>+K5</f>
        <v>20.573333333333323</v>
      </c>
      <c r="D17" s="27"/>
      <c r="E17" s="35"/>
      <c r="F17" s="32"/>
      <c r="G17" s="36"/>
      <c r="I17" s="24" t="s">
        <v>25</v>
      </c>
      <c r="J17" s="25">
        <f>SQRT(D16)/4</f>
        <v>0.11752659273543153</v>
      </c>
      <c r="L17" s="39"/>
      <c r="M17" s="37"/>
      <c r="N17" s="37"/>
      <c r="O17" s="37"/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workbookViewId="0">
      <selection activeCell="O4" sqref="O4"/>
    </sheetView>
  </sheetViews>
  <sheetFormatPr defaultRowHeight="14.5" x14ac:dyDescent="0.35"/>
  <cols>
    <col min="1" max="1" width="11.2695312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3">
        <v>1</v>
      </c>
      <c r="C2" s="63">
        <v>2</v>
      </c>
      <c r="D2" s="63">
        <v>3</v>
      </c>
      <c r="E2" s="61">
        <v>4</v>
      </c>
      <c r="F2" s="69"/>
      <c r="G2" s="69"/>
      <c r="H2" s="17"/>
      <c r="I2" s="7"/>
      <c r="J2" s="3"/>
      <c r="K2" s="4"/>
    </row>
    <row r="3" spans="1:16" ht="15.5" x14ac:dyDescent="0.35">
      <c r="A3" s="8" t="s">
        <v>4</v>
      </c>
      <c r="B3" s="39">
        <v>32.5</v>
      </c>
      <c r="C3" s="37">
        <v>36.5</v>
      </c>
      <c r="D3" s="37">
        <v>34</v>
      </c>
      <c r="E3" s="37">
        <v>38</v>
      </c>
      <c r="F3" s="9">
        <f t="shared" ref="F3:F8" si="0">SUM(B3:E3)</f>
        <v>141</v>
      </c>
      <c r="G3" s="9">
        <f t="shared" ref="G3:G8" si="1">AVERAGE(B3:E3)</f>
        <v>35.25</v>
      </c>
      <c r="H3" s="9"/>
      <c r="I3" s="7"/>
      <c r="J3" s="3" t="s">
        <v>5</v>
      </c>
      <c r="K3" s="4">
        <f>F9^2/J13</f>
        <v>37288.166666666664</v>
      </c>
    </row>
    <row r="4" spans="1:16" ht="15.5" x14ac:dyDescent="0.35">
      <c r="A4" s="8" t="s">
        <v>6</v>
      </c>
      <c r="B4" s="39">
        <v>38.5</v>
      </c>
      <c r="C4" s="37">
        <v>34.5</v>
      </c>
      <c r="D4" s="37">
        <v>36.5</v>
      </c>
      <c r="E4" s="37">
        <v>38</v>
      </c>
      <c r="F4" s="9">
        <f t="shared" si="0"/>
        <v>147.5</v>
      </c>
      <c r="G4" s="9">
        <f t="shared" si="1"/>
        <v>36.875</v>
      </c>
      <c r="H4" s="9"/>
      <c r="I4" s="7"/>
      <c r="J4" s="10" t="s">
        <v>7</v>
      </c>
      <c r="K4" s="9">
        <f>SUMSQ(F3:F8)/J12-K3</f>
        <v>906.45833333333576</v>
      </c>
      <c r="N4" s="8" t="s">
        <v>4</v>
      </c>
      <c r="O4" s="11">
        <f>G3</f>
        <v>35.25</v>
      </c>
      <c r="P4" t="s">
        <v>29</v>
      </c>
    </row>
    <row r="5" spans="1:16" ht="15.5" x14ac:dyDescent="0.35">
      <c r="A5" s="8" t="s">
        <v>8</v>
      </c>
      <c r="B5" s="39">
        <v>36.5</v>
      </c>
      <c r="C5" s="37">
        <v>34.5</v>
      </c>
      <c r="D5" s="37">
        <v>36</v>
      </c>
      <c r="E5" s="37">
        <v>37</v>
      </c>
      <c r="F5" s="9">
        <f t="shared" si="0"/>
        <v>144</v>
      </c>
      <c r="G5" s="9">
        <f t="shared" si="1"/>
        <v>36</v>
      </c>
      <c r="H5" s="9"/>
      <c r="I5" s="7"/>
      <c r="J5" s="3" t="s">
        <v>9</v>
      </c>
      <c r="K5" s="43">
        <f>SUMSQ(B3:E8)-K3</f>
        <v>2591.8333333333358</v>
      </c>
      <c r="N5" s="8" t="s">
        <v>6</v>
      </c>
      <c r="O5" s="11">
        <f t="shared" ref="O5:O9" si="2">G4</f>
        <v>36.875</v>
      </c>
      <c r="P5" s="18" t="s">
        <v>29</v>
      </c>
    </row>
    <row r="6" spans="1:16" ht="15.5" x14ac:dyDescent="0.35">
      <c r="A6" s="8" t="s">
        <v>10</v>
      </c>
      <c r="B6" s="39">
        <v>33</v>
      </c>
      <c r="C6" s="37">
        <v>36.5</v>
      </c>
      <c r="D6" s="37">
        <v>38</v>
      </c>
      <c r="E6" s="37">
        <v>41</v>
      </c>
      <c r="F6" s="9">
        <f t="shared" si="0"/>
        <v>148.5</v>
      </c>
      <c r="G6" s="9">
        <f t="shared" si="1"/>
        <v>37.125</v>
      </c>
      <c r="H6" s="9"/>
      <c r="I6" s="7"/>
      <c r="J6" s="3" t="s">
        <v>11</v>
      </c>
      <c r="K6" s="43">
        <f>SUMSQ(B9:E9)/J11-K3</f>
        <v>312.25</v>
      </c>
      <c r="N6" s="8" t="s">
        <v>8</v>
      </c>
      <c r="O6" s="11">
        <f t="shared" si="2"/>
        <v>36</v>
      </c>
      <c r="P6" t="s">
        <v>29</v>
      </c>
    </row>
    <row r="7" spans="1:16" ht="15.5" x14ac:dyDescent="0.35">
      <c r="A7" s="8" t="s">
        <v>12</v>
      </c>
      <c r="B7" s="39">
        <v>31</v>
      </c>
      <c r="C7" s="37">
        <v>41</v>
      </c>
      <c r="D7" s="37">
        <v>39</v>
      </c>
      <c r="E7" s="37">
        <v>42</v>
      </c>
      <c r="F7" s="9">
        <f t="shared" si="0"/>
        <v>153</v>
      </c>
      <c r="G7" s="9">
        <f t="shared" si="1"/>
        <v>38.25</v>
      </c>
      <c r="H7" s="9"/>
      <c r="I7" s="7"/>
      <c r="J7" s="3" t="s">
        <v>13</v>
      </c>
      <c r="K7" s="12">
        <f>SQRT(D16)/G9*100</f>
        <v>26.891978139593061</v>
      </c>
      <c r="N7" s="8" t="s">
        <v>10</v>
      </c>
      <c r="O7" s="11">
        <f t="shared" si="2"/>
        <v>37.125</v>
      </c>
      <c r="P7" t="s">
        <v>29</v>
      </c>
    </row>
    <row r="8" spans="1:16" ht="15.5" x14ac:dyDescent="0.35">
      <c r="A8" s="8" t="s">
        <v>27</v>
      </c>
      <c r="B8" s="39">
        <v>42</v>
      </c>
      <c r="C8" s="37">
        <v>40</v>
      </c>
      <c r="D8" s="37">
        <v>87</v>
      </c>
      <c r="E8" s="37">
        <v>43</v>
      </c>
      <c r="F8" s="9">
        <f t="shared" si="0"/>
        <v>212</v>
      </c>
      <c r="G8" s="9">
        <f t="shared" si="1"/>
        <v>53</v>
      </c>
      <c r="H8" s="9"/>
      <c r="I8" s="7"/>
      <c r="J8" s="3"/>
      <c r="K8" s="12"/>
      <c r="N8" s="8" t="s">
        <v>12</v>
      </c>
      <c r="O8" s="11">
        <f t="shared" si="2"/>
        <v>38.25</v>
      </c>
      <c r="P8" t="s">
        <v>29</v>
      </c>
    </row>
    <row r="9" spans="1:16" ht="15.5" x14ac:dyDescent="0.35">
      <c r="A9" s="61" t="s">
        <v>2</v>
      </c>
      <c r="B9" s="62">
        <f>SUM(B3:B8)</f>
        <v>213.5</v>
      </c>
      <c r="C9" s="62">
        <f>SUM(C3:C8)</f>
        <v>223</v>
      </c>
      <c r="D9" s="62">
        <f>SUM(D3:D8)</f>
        <v>270.5</v>
      </c>
      <c r="E9" s="62">
        <f>SUM(E3:E8)</f>
        <v>239</v>
      </c>
      <c r="F9" s="62">
        <f>SUM(F3:F8)</f>
        <v>946</v>
      </c>
      <c r="G9" s="62">
        <f>AVERAGE(G3:G8)</f>
        <v>39.416666666666664</v>
      </c>
      <c r="H9" s="29"/>
      <c r="J9" s="3"/>
      <c r="K9" s="14"/>
      <c r="N9" s="8" t="s">
        <v>27</v>
      </c>
      <c r="O9" s="46">
        <f t="shared" si="2"/>
        <v>53</v>
      </c>
      <c r="P9" s="18" t="s">
        <v>30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  <c r="L10" s="39"/>
      <c r="M10" s="37"/>
      <c r="N10" s="37"/>
      <c r="O10" s="37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7"/>
      <c r="N11" s="37"/>
      <c r="O11" s="37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72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7"/>
      <c r="N12" s="37"/>
      <c r="O12" s="37"/>
    </row>
    <row r="13" spans="1:16" ht="15.5" x14ac:dyDescent="0.35">
      <c r="A13" s="69"/>
      <c r="B13" s="69"/>
      <c r="C13" s="69"/>
      <c r="D13" s="69"/>
      <c r="E13" s="73"/>
      <c r="F13" s="33">
        <v>0.05</v>
      </c>
      <c r="G13" s="6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  <c r="P13" s="37"/>
    </row>
    <row r="14" spans="1:16" ht="15.5" x14ac:dyDescent="0.35">
      <c r="A14" s="21" t="s">
        <v>19</v>
      </c>
      <c r="B14" s="21">
        <v>3</v>
      </c>
      <c r="C14" s="31">
        <f>+K6</f>
        <v>312.25</v>
      </c>
      <c r="D14" s="9">
        <f>C14/B14</f>
        <v>104.08333333333333</v>
      </c>
      <c r="E14" s="9">
        <f>D14/D16</f>
        <v>0.92635170214343987</v>
      </c>
      <c r="F14" s="9">
        <v>3.29</v>
      </c>
      <c r="G14" s="9">
        <v>5.42</v>
      </c>
      <c r="H14" s="22" t="s">
        <v>20</v>
      </c>
      <c r="K14" s="23"/>
      <c r="L14" s="39"/>
      <c r="M14" s="37"/>
      <c r="N14" s="37"/>
      <c r="O14" s="37"/>
    </row>
    <row r="15" spans="1:16" ht="15.5" x14ac:dyDescent="0.35">
      <c r="A15" s="21" t="s">
        <v>0</v>
      </c>
      <c r="B15" s="21">
        <v>5</v>
      </c>
      <c r="C15" s="31">
        <f>+K4</f>
        <v>906.45833333333576</v>
      </c>
      <c r="D15" s="9">
        <f>C15/B15</f>
        <v>181.29166666666714</v>
      </c>
      <c r="E15" s="9">
        <f>D15/D16</f>
        <v>1.6135133130608956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12.189909590859701</v>
      </c>
      <c r="K15" s="23"/>
      <c r="L15" s="39"/>
      <c r="M15" s="37"/>
      <c r="N15" s="37"/>
      <c r="O15" s="37"/>
    </row>
    <row r="16" spans="1:16" ht="15.5" x14ac:dyDescent="0.35">
      <c r="A16" s="26" t="s">
        <v>23</v>
      </c>
      <c r="B16" s="26">
        <f>B14*B15</f>
        <v>15</v>
      </c>
      <c r="C16" s="42">
        <f>C17-C15</f>
        <v>1685.375</v>
      </c>
      <c r="D16" s="27">
        <f>C16/B16</f>
        <v>112.35833333333333</v>
      </c>
      <c r="E16" s="9"/>
      <c r="F16" s="9"/>
      <c r="G16" s="28"/>
      <c r="H16" s="28"/>
      <c r="I16" s="24" t="s">
        <v>24</v>
      </c>
      <c r="J16" s="25">
        <v>4.5999999999999996</v>
      </c>
      <c r="K16" s="23"/>
      <c r="L16" s="39"/>
      <c r="M16" s="37"/>
      <c r="N16" s="37"/>
      <c r="O16" s="37"/>
    </row>
    <row r="17" spans="1:15" ht="15.5" x14ac:dyDescent="0.35">
      <c r="A17" s="26" t="s">
        <v>2</v>
      </c>
      <c r="B17" s="26">
        <f>SUM(B14:B16)</f>
        <v>23</v>
      </c>
      <c r="C17" s="42">
        <f>+K5</f>
        <v>2591.8333333333358</v>
      </c>
      <c r="D17" s="27"/>
      <c r="E17" s="35"/>
      <c r="F17" s="32"/>
      <c r="G17" s="36"/>
      <c r="I17" s="24" t="s">
        <v>25</v>
      </c>
      <c r="J17" s="25">
        <f>SQRT(D16)/4</f>
        <v>2.6499803458390656</v>
      </c>
      <c r="L17" s="39"/>
      <c r="M17" s="37"/>
      <c r="N17" s="37"/>
      <c r="O17" s="37"/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7"/>
  <sheetViews>
    <sheetView workbookViewId="0">
      <selection activeCell="O10" sqref="O10"/>
    </sheetView>
  </sheetViews>
  <sheetFormatPr defaultRowHeight="14.5" x14ac:dyDescent="0.35"/>
  <cols>
    <col min="1" max="1" width="11.2695312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3">
        <v>1</v>
      </c>
      <c r="C2" s="63">
        <v>2</v>
      </c>
      <c r="D2" s="63">
        <v>3</v>
      </c>
      <c r="E2" s="61">
        <v>4</v>
      </c>
      <c r="F2" s="69"/>
      <c r="G2" s="69"/>
      <c r="H2" s="17"/>
      <c r="I2" s="7"/>
      <c r="J2" s="3"/>
      <c r="K2" s="4"/>
    </row>
    <row r="3" spans="1:16" ht="15.5" x14ac:dyDescent="0.35">
      <c r="A3" s="8" t="s">
        <v>4</v>
      </c>
      <c r="B3" s="39">
        <v>58.1</v>
      </c>
      <c r="C3" s="37">
        <v>38.25</v>
      </c>
      <c r="D3" s="37">
        <v>27</v>
      </c>
      <c r="E3" s="37">
        <v>45.65</v>
      </c>
      <c r="F3" s="9">
        <f t="shared" ref="F3:F8" si="0">SUM(B3:E3)</f>
        <v>169</v>
      </c>
      <c r="G3" s="9">
        <f t="shared" ref="G3:G8" si="1">AVERAGE(B3:E3)</f>
        <v>42.25</v>
      </c>
      <c r="H3" s="9"/>
      <c r="I3" s="7"/>
      <c r="J3" s="3" t="s">
        <v>5</v>
      </c>
      <c r="K3" s="4">
        <f>F9^2/J13</f>
        <v>81162.281204166677</v>
      </c>
      <c r="N3" t="s">
        <v>0</v>
      </c>
      <c r="O3" t="s">
        <v>33</v>
      </c>
    </row>
    <row r="4" spans="1:16" ht="15.5" x14ac:dyDescent="0.35">
      <c r="A4" s="8" t="s">
        <v>6</v>
      </c>
      <c r="B4" s="39">
        <v>47.56</v>
      </c>
      <c r="C4" s="37">
        <v>49.95</v>
      </c>
      <c r="D4" s="37">
        <v>36.6</v>
      </c>
      <c r="E4" s="37">
        <v>57.1</v>
      </c>
      <c r="F4" s="9">
        <f t="shared" si="0"/>
        <v>191.21</v>
      </c>
      <c r="G4" s="9">
        <f t="shared" si="1"/>
        <v>47.802500000000002</v>
      </c>
      <c r="H4" s="9"/>
      <c r="I4" s="7"/>
      <c r="J4" s="10" t="s">
        <v>7</v>
      </c>
      <c r="K4" s="9">
        <f>SUMSQ(F3:F8)/J12-K3</f>
        <v>2374.9670708333288</v>
      </c>
      <c r="N4" s="8" t="s">
        <v>4</v>
      </c>
      <c r="O4" s="11">
        <f>G3</f>
        <v>42.25</v>
      </c>
      <c r="P4" s="47" t="s">
        <v>29</v>
      </c>
    </row>
    <row r="5" spans="1:16" ht="15.5" x14ac:dyDescent="0.35">
      <c r="A5" s="8" t="s">
        <v>8</v>
      </c>
      <c r="B5" s="39">
        <v>60.41</v>
      </c>
      <c r="C5" s="37">
        <v>56.28</v>
      </c>
      <c r="D5" s="37">
        <v>60.33</v>
      </c>
      <c r="E5" s="37">
        <v>57.83</v>
      </c>
      <c r="F5" s="9">
        <f t="shared" si="0"/>
        <v>234.84999999999997</v>
      </c>
      <c r="G5" s="9">
        <f t="shared" si="1"/>
        <v>58.712499999999991</v>
      </c>
      <c r="H5" s="9"/>
      <c r="I5" s="7"/>
      <c r="J5" s="3" t="s">
        <v>9</v>
      </c>
      <c r="K5" s="43">
        <f>SUMSQ(B3:E8)-K3</f>
        <v>3623.457895833315</v>
      </c>
      <c r="N5" s="8" t="s">
        <v>6</v>
      </c>
      <c r="O5" s="11">
        <f t="shared" ref="O5:O9" si="2">G4</f>
        <v>47.802500000000002</v>
      </c>
      <c r="P5" s="48" t="s">
        <v>29</v>
      </c>
    </row>
    <row r="6" spans="1:16" ht="15.5" x14ac:dyDescent="0.35">
      <c r="A6" s="8" t="s">
        <v>10</v>
      </c>
      <c r="B6" s="39">
        <v>64.41</v>
      </c>
      <c r="C6" s="37">
        <v>61.13</v>
      </c>
      <c r="D6" s="37">
        <v>62.65</v>
      </c>
      <c r="E6" s="45">
        <v>67.23</v>
      </c>
      <c r="F6" s="9">
        <f t="shared" si="0"/>
        <v>255.42000000000002</v>
      </c>
      <c r="G6" s="9">
        <f t="shared" si="1"/>
        <v>63.855000000000004</v>
      </c>
      <c r="H6" s="9"/>
      <c r="I6" s="7"/>
      <c r="J6" s="3" t="s">
        <v>11</v>
      </c>
      <c r="K6" s="43">
        <f>SUMSQ(B9:E9)/J11-K3</f>
        <v>289.45911249998608</v>
      </c>
      <c r="N6" s="8" t="s">
        <v>8</v>
      </c>
      <c r="O6" s="11">
        <f t="shared" si="2"/>
        <v>58.712499999999991</v>
      </c>
      <c r="P6" s="48" t="s">
        <v>30</v>
      </c>
    </row>
    <row r="7" spans="1:16" ht="15.5" x14ac:dyDescent="0.35">
      <c r="A7" s="8" t="s">
        <v>12</v>
      </c>
      <c r="B7" s="39">
        <v>65.22</v>
      </c>
      <c r="C7" s="37">
        <v>78.27</v>
      </c>
      <c r="D7" s="37">
        <v>62.44</v>
      </c>
      <c r="E7" s="37">
        <v>63.77</v>
      </c>
      <c r="F7" s="9">
        <f t="shared" si="0"/>
        <v>269.7</v>
      </c>
      <c r="G7" s="9">
        <f t="shared" si="1"/>
        <v>67.424999999999997</v>
      </c>
      <c r="H7" s="9"/>
      <c r="I7" s="7"/>
      <c r="J7" s="3" t="s">
        <v>13</v>
      </c>
      <c r="K7" s="12">
        <f>SQRT(D16)/G9*100</f>
        <v>15.688287746207866</v>
      </c>
      <c r="N7" s="8" t="s">
        <v>10</v>
      </c>
      <c r="O7" s="11">
        <f t="shared" si="2"/>
        <v>63.855000000000004</v>
      </c>
      <c r="P7" s="48" t="s">
        <v>30</v>
      </c>
    </row>
    <row r="8" spans="1:16" ht="15.5" x14ac:dyDescent="0.35">
      <c r="A8" s="8" t="s">
        <v>27</v>
      </c>
      <c r="B8" s="39">
        <v>61.35</v>
      </c>
      <c r="C8" s="37">
        <v>84.33</v>
      </c>
      <c r="D8" s="37">
        <v>64.709999999999994</v>
      </c>
      <c r="E8" s="37">
        <v>65.099999999999994</v>
      </c>
      <c r="F8" s="9">
        <f t="shared" si="0"/>
        <v>275.49</v>
      </c>
      <c r="G8" s="9">
        <f t="shared" si="1"/>
        <v>68.872500000000002</v>
      </c>
      <c r="H8" s="9"/>
      <c r="I8" s="7"/>
      <c r="J8" s="3"/>
      <c r="K8" s="12"/>
      <c r="N8" s="8" t="s">
        <v>12</v>
      </c>
      <c r="O8" s="11">
        <f t="shared" si="2"/>
        <v>67.424999999999997</v>
      </c>
      <c r="P8" s="48" t="s">
        <v>30</v>
      </c>
    </row>
    <row r="9" spans="1:16" ht="15.5" x14ac:dyDescent="0.35">
      <c r="A9" s="61" t="s">
        <v>2</v>
      </c>
      <c r="B9" s="62">
        <f>SUM(B3:B8)</f>
        <v>357.05</v>
      </c>
      <c r="C9" s="62">
        <f>SUM(C3:C8)</f>
        <v>368.21</v>
      </c>
      <c r="D9" s="62">
        <f>SUM(D3:D8)</f>
        <v>313.73</v>
      </c>
      <c r="E9" s="62">
        <f>SUM(E3:E8)</f>
        <v>356.67999999999995</v>
      </c>
      <c r="F9" s="62">
        <f>SUM(F3:F8)</f>
        <v>1395.67</v>
      </c>
      <c r="G9" s="62">
        <f>AVERAGE(G3:G8)</f>
        <v>58.15291666666667</v>
      </c>
      <c r="H9" s="29"/>
      <c r="J9" s="3"/>
      <c r="K9" s="14"/>
      <c r="N9" s="8" t="s">
        <v>27</v>
      </c>
      <c r="O9" s="11">
        <f t="shared" si="2"/>
        <v>68.872500000000002</v>
      </c>
      <c r="P9" s="48" t="s">
        <v>30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  <c r="N10" s="8" t="s">
        <v>22</v>
      </c>
      <c r="O10">
        <v>10.49</v>
      </c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7"/>
      <c r="N11" s="37"/>
      <c r="O11" s="37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72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7"/>
      <c r="N12" s="37"/>
      <c r="O12" s="37"/>
    </row>
    <row r="13" spans="1:16" ht="15.5" x14ac:dyDescent="0.35">
      <c r="A13" s="69"/>
      <c r="B13" s="69"/>
      <c r="C13" s="69"/>
      <c r="D13" s="69"/>
      <c r="E13" s="73"/>
      <c r="F13" s="33">
        <v>0.05</v>
      </c>
      <c r="G13" s="3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</row>
    <row r="14" spans="1:16" ht="15.5" x14ac:dyDescent="0.35">
      <c r="A14" s="21" t="s">
        <v>19</v>
      </c>
      <c r="B14" s="21">
        <v>3</v>
      </c>
      <c r="C14" s="31">
        <f>+K6</f>
        <v>289.45911249998608</v>
      </c>
      <c r="D14" s="9">
        <f>C14/B14</f>
        <v>96.486370833328692</v>
      </c>
      <c r="E14" s="9">
        <f>D14/D16</f>
        <v>1.159236042042957</v>
      </c>
      <c r="F14" s="9">
        <v>3.29</v>
      </c>
      <c r="G14" s="9">
        <v>5.42</v>
      </c>
      <c r="H14" s="22" t="s">
        <v>20</v>
      </c>
      <c r="K14" s="23"/>
      <c r="L14" s="39"/>
      <c r="M14" s="37"/>
      <c r="N14" s="37"/>
      <c r="O14" s="37"/>
    </row>
    <row r="15" spans="1:16" ht="15.5" x14ac:dyDescent="0.35">
      <c r="A15" s="21" t="s">
        <v>0</v>
      </c>
      <c r="B15" s="21">
        <v>5</v>
      </c>
      <c r="C15" s="31">
        <f>+K4</f>
        <v>2374.9670708333288</v>
      </c>
      <c r="D15" s="9">
        <f>C15/B15</f>
        <v>474.99341416666573</v>
      </c>
      <c r="E15" s="9">
        <f>D15/D16</f>
        <v>5.7068110312304974</v>
      </c>
      <c r="F15" s="9">
        <v>2.9</v>
      </c>
      <c r="G15" s="9">
        <v>4.5599999999999996</v>
      </c>
      <c r="H15" s="22" t="s">
        <v>21</v>
      </c>
      <c r="I15" s="24" t="s">
        <v>22</v>
      </c>
      <c r="J15" s="25">
        <f>J16*J17</f>
        <v>10.491676434401008</v>
      </c>
      <c r="K15" s="23"/>
      <c r="L15" s="39"/>
      <c r="M15" s="37"/>
      <c r="N15" s="37"/>
      <c r="O15" s="45"/>
    </row>
    <row r="16" spans="1:16" ht="15.5" x14ac:dyDescent="0.35">
      <c r="A16" s="26" t="s">
        <v>23</v>
      </c>
      <c r="B16" s="26">
        <f>B14*B15</f>
        <v>15</v>
      </c>
      <c r="C16" s="42">
        <f>C17-C15</f>
        <v>1248.4908249999862</v>
      </c>
      <c r="D16" s="27">
        <f>C16/B16</f>
        <v>83.232721666665753</v>
      </c>
      <c r="E16" s="9"/>
      <c r="F16" s="9"/>
      <c r="G16" s="28"/>
      <c r="H16" s="28"/>
      <c r="I16" s="24" t="s">
        <v>24</v>
      </c>
      <c r="J16" s="25">
        <v>4.5999999999999996</v>
      </c>
      <c r="K16" s="23"/>
      <c r="L16" s="39"/>
      <c r="M16" s="37"/>
      <c r="N16" s="37"/>
      <c r="O16" s="37"/>
    </row>
    <row r="17" spans="1:15" ht="15.5" x14ac:dyDescent="0.35">
      <c r="A17" s="26" t="s">
        <v>2</v>
      </c>
      <c r="B17" s="26">
        <f>SUM(B14:B16)</f>
        <v>23</v>
      </c>
      <c r="C17" s="42">
        <f>+K5</f>
        <v>3623.457895833315</v>
      </c>
      <c r="D17" s="27"/>
      <c r="E17" s="35"/>
      <c r="F17" s="32"/>
      <c r="G17" s="36"/>
      <c r="I17" s="24" t="s">
        <v>25</v>
      </c>
      <c r="J17" s="25">
        <f>SQRT(D16)/4</f>
        <v>2.2807992248697846</v>
      </c>
      <c r="L17" s="39"/>
      <c r="M17" s="37"/>
      <c r="N17" s="37"/>
      <c r="O17" s="37"/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7"/>
  <sheetViews>
    <sheetView workbookViewId="0">
      <selection activeCell="G13" sqref="G13"/>
    </sheetView>
  </sheetViews>
  <sheetFormatPr defaultRowHeight="14.5" x14ac:dyDescent="0.35"/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68" t="s">
        <v>2</v>
      </c>
      <c r="G1" s="68" t="s">
        <v>3</v>
      </c>
      <c r="H1" s="17"/>
      <c r="I1" s="2"/>
      <c r="J1" s="3"/>
      <c r="K1" s="4"/>
    </row>
    <row r="2" spans="1:16" ht="15.5" x14ac:dyDescent="0.35">
      <c r="A2" s="69"/>
      <c r="B2" s="63">
        <v>1</v>
      </c>
      <c r="C2" s="63">
        <v>2</v>
      </c>
      <c r="D2" s="63">
        <v>3</v>
      </c>
      <c r="E2" s="61">
        <v>4</v>
      </c>
      <c r="F2" s="69"/>
      <c r="G2" s="69"/>
      <c r="H2" s="17"/>
      <c r="I2" s="7"/>
      <c r="J2" s="3"/>
      <c r="K2" s="4"/>
    </row>
    <row r="3" spans="1:16" ht="15.5" x14ac:dyDescent="0.35">
      <c r="A3" s="8" t="s">
        <v>4</v>
      </c>
      <c r="B3" s="57">
        <v>44</v>
      </c>
      <c r="C3" s="58">
        <v>36</v>
      </c>
      <c r="D3" s="58">
        <v>35</v>
      </c>
      <c r="E3" s="58">
        <v>46</v>
      </c>
      <c r="F3" s="9">
        <f t="shared" ref="F3:F8" si="0">SUM(B3:E3)</f>
        <v>161</v>
      </c>
      <c r="G3" s="9">
        <f t="shared" ref="G3:G8" si="1">AVERAGE(B3:E3)</f>
        <v>40.25</v>
      </c>
      <c r="H3" s="9"/>
      <c r="I3" s="7"/>
      <c r="J3" s="3" t="s">
        <v>5</v>
      </c>
      <c r="K3" s="4">
        <f>F9^2/J13</f>
        <v>39690.666666666664</v>
      </c>
    </row>
    <row r="4" spans="1:16" ht="15.5" x14ac:dyDescent="0.35">
      <c r="A4" s="8" t="s">
        <v>6</v>
      </c>
      <c r="B4" s="57">
        <v>41.5</v>
      </c>
      <c r="C4" s="58">
        <v>38</v>
      </c>
      <c r="D4" s="58">
        <v>39</v>
      </c>
      <c r="E4" s="58">
        <v>43</v>
      </c>
      <c r="F4" s="9">
        <f t="shared" si="0"/>
        <v>161.5</v>
      </c>
      <c r="G4" s="9">
        <f t="shared" si="1"/>
        <v>40.375</v>
      </c>
      <c r="H4" s="9"/>
      <c r="I4" s="7"/>
      <c r="J4" s="10" t="s">
        <v>7</v>
      </c>
      <c r="K4" s="9">
        <f>SUMSQ(F3:F8)/J12-K3</f>
        <v>90.333333333335759</v>
      </c>
      <c r="N4" s="8" t="s">
        <v>4</v>
      </c>
      <c r="O4" s="11">
        <f>G3</f>
        <v>40.25</v>
      </c>
      <c r="P4" s="47" t="s">
        <v>29</v>
      </c>
    </row>
    <row r="5" spans="1:16" ht="15.5" x14ac:dyDescent="0.35">
      <c r="A5" s="8" t="s">
        <v>8</v>
      </c>
      <c r="B5" s="57">
        <v>36.5</v>
      </c>
      <c r="C5" s="58">
        <v>50.5</v>
      </c>
      <c r="D5" s="58">
        <v>32.5</v>
      </c>
      <c r="E5" s="58">
        <v>37</v>
      </c>
      <c r="F5" s="9">
        <f t="shared" si="0"/>
        <v>156.5</v>
      </c>
      <c r="G5" s="9">
        <f t="shared" si="1"/>
        <v>39.125</v>
      </c>
      <c r="H5" s="9"/>
      <c r="I5" s="7"/>
      <c r="J5" s="3" t="s">
        <v>9</v>
      </c>
      <c r="K5" s="43">
        <f>SUMSQ(B3:E8)-K3</f>
        <v>999.83333333333576</v>
      </c>
      <c r="N5" s="8" t="s">
        <v>6</v>
      </c>
      <c r="O5" s="11">
        <f t="shared" ref="O5:O9" si="2">G4</f>
        <v>40.375</v>
      </c>
      <c r="P5" s="48" t="s">
        <v>29</v>
      </c>
    </row>
    <row r="6" spans="1:16" ht="15.5" x14ac:dyDescent="0.35">
      <c r="A6" s="8" t="s">
        <v>10</v>
      </c>
      <c r="B6" s="57">
        <v>33</v>
      </c>
      <c r="C6" s="58">
        <v>36.5</v>
      </c>
      <c r="D6" s="58">
        <v>53.5</v>
      </c>
      <c r="E6" s="58">
        <v>41</v>
      </c>
      <c r="F6" s="9">
        <f t="shared" si="0"/>
        <v>164</v>
      </c>
      <c r="G6" s="9">
        <f t="shared" si="1"/>
        <v>41</v>
      </c>
      <c r="H6" s="9"/>
      <c r="I6" s="7"/>
      <c r="J6" s="3" t="s">
        <v>11</v>
      </c>
      <c r="K6" s="43">
        <f>SUMSQ(B9:E9)/J11-K3</f>
        <v>121.5</v>
      </c>
      <c r="N6" s="8" t="s">
        <v>8</v>
      </c>
      <c r="O6" s="11">
        <f t="shared" si="2"/>
        <v>39.125</v>
      </c>
      <c r="P6" s="48" t="s">
        <v>30</v>
      </c>
    </row>
    <row r="7" spans="1:16" ht="15.5" x14ac:dyDescent="0.35">
      <c r="A7" s="8" t="s">
        <v>12</v>
      </c>
      <c r="B7" s="57">
        <v>31.5</v>
      </c>
      <c r="C7" s="58">
        <v>52.5</v>
      </c>
      <c r="D7" s="58">
        <v>32</v>
      </c>
      <c r="E7" s="58">
        <v>38.5</v>
      </c>
      <c r="F7" s="9">
        <f t="shared" si="0"/>
        <v>154.5</v>
      </c>
      <c r="G7" s="9">
        <f t="shared" si="1"/>
        <v>38.625</v>
      </c>
      <c r="H7" s="9"/>
      <c r="I7" s="7"/>
      <c r="J7" s="3" t="s">
        <v>13</v>
      </c>
      <c r="K7" s="12">
        <f>SQRT(D16)/G9*100</f>
        <v>19.147723443999279</v>
      </c>
      <c r="N7" s="8" t="s">
        <v>10</v>
      </c>
      <c r="O7" s="11">
        <f t="shared" si="2"/>
        <v>41</v>
      </c>
      <c r="P7" s="48" t="s">
        <v>30</v>
      </c>
    </row>
    <row r="8" spans="1:16" ht="15.5" x14ac:dyDescent="0.35">
      <c r="A8" s="8" t="s">
        <v>27</v>
      </c>
      <c r="B8" s="59">
        <v>43</v>
      </c>
      <c r="C8" s="60">
        <v>52</v>
      </c>
      <c r="D8" s="60">
        <v>44.5</v>
      </c>
      <c r="E8" s="60">
        <v>39</v>
      </c>
      <c r="F8" s="9">
        <f t="shared" si="0"/>
        <v>178.5</v>
      </c>
      <c r="G8" s="9">
        <f t="shared" si="1"/>
        <v>44.625</v>
      </c>
      <c r="H8" s="9"/>
      <c r="I8" s="7"/>
      <c r="J8" s="3"/>
      <c r="K8" s="12"/>
      <c r="N8" s="8" t="s">
        <v>12</v>
      </c>
      <c r="O8" s="11">
        <f t="shared" si="2"/>
        <v>38.625</v>
      </c>
      <c r="P8" s="48" t="s">
        <v>30</v>
      </c>
    </row>
    <row r="9" spans="1:16" ht="15.5" x14ac:dyDescent="0.35">
      <c r="A9" s="61" t="s">
        <v>2</v>
      </c>
      <c r="B9" s="13">
        <f>SUM(B3:B8)</f>
        <v>229.5</v>
      </c>
      <c r="C9" s="13">
        <f>SUM(C3:C8)</f>
        <v>265.5</v>
      </c>
      <c r="D9" s="13">
        <f>SUM(D3:D8)</f>
        <v>236.5</v>
      </c>
      <c r="E9" s="13">
        <f>SUM(E3:E8)</f>
        <v>244.5</v>
      </c>
      <c r="F9" s="62">
        <f>SUM(F3:F8)</f>
        <v>976</v>
      </c>
      <c r="G9" s="62">
        <f>AVERAGE(G3:G8)</f>
        <v>40.666666666666664</v>
      </c>
      <c r="H9" s="29"/>
      <c r="J9" s="3"/>
      <c r="K9" s="14"/>
      <c r="N9" s="8" t="s">
        <v>27</v>
      </c>
      <c r="O9" s="11">
        <f t="shared" si="2"/>
        <v>44.625</v>
      </c>
      <c r="P9" s="48" t="s">
        <v>30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7"/>
      <c r="N11" s="37"/>
      <c r="O11" s="37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72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37"/>
      <c r="N12" s="37"/>
      <c r="O12" s="37"/>
    </row>
    <row r="13" spans="1:16" ht="15.5" x14ac:dyDescent="0.35">
      <c r="A13" s="69"/>
      <c r="B13" s="69"/>
      <c r="C13" s="69"/>
      <c r="D13" s="69"/>
      <c r="E13" s="73"/>
      <c r="F13" s="33">
        <v>0.05</v>
      </c>
      <c r="G13" s="34">
        <v>0.01</v>
      </c>
      <c r="H13" s="20"/>
      <c r="I13" s="3" t="s">
        <v>2</v>
      </c>
      <c r="J13" s="17">
        <f>J11*J12</f>
        <v>24</v>
      </c>
      <c r="L13" s="39"/>
      <c r="M13" s="37"/>
      <c r="N13" s="37"/>
      <c r="O13" s="37"/>
    </row>
    <row r="14" spans="1:16" ht="15.5" x14ac:dyDescent="0.35">
      <c r="A14" s="21" t="s">
        <v>19</v>
      </c>
      <c r="B14" s="21">
        <v>3</v>
      </c>
      <c r="C14" s="31">
        <f>+K6</f>
        <v>121.5</v>
      </c>
      <c r="D14" s="9">
        <f>C14/B14</f>
        <v>40.5</v>
      </c>
      <c r="E14" s="9">
        <f>D14/D16</f>
        <v>0.6679494227597581</v>
      </c>
      <c r="F14" s="9">
        <v>3.29</v>
      </c>
      <c r="G14" s="9">
        <v>5.42</v>
      </c>
      <c r="H14" s="22" t="s">
        <v>20</v>
      </c>
      <c r="K14" s="23"/>
      <c r="L14" s="39"/>
      <c r="M14" s="37"/>
      <c r="N14" s="37"/>
      <c r="O14" s="37"/>
    </row>
    <row r="15" spans="1:16" ht="15.5" x14ac:dyDescent="0.35">
      <c r="A15" s="21" t="s">
        <v>0</v>
      </c>
      <c r="B15" s="21">
        <v>5</v>
      </c>
      <c r="C15" s="31">
        <f>+K4</f>
        <v>90.333333333335759</v>
      </c>
      <c r="D15" s="9">
        <f>C15/B15</f>
        <v>18.066666666667153</v>
      </c>
      <c r="E15" s="9">
        <f>D15/D16</f>
        <v>0.2979659153381059</v>
      </c>
      <c r="F15" s="9">
        <v>2.9</v>
      </c>
      <c r="G15" s="9">
        <v>4.5599999999999996</v>
      </c>
      <c r="H15" s="22" t="s">
        <v>20</v>
      </c>
      <c r="I15" s="24" t="s">
        <v>22</v>
      </c>
      <c r="J15" s="25">
        <f>J16*J17</f>
        <v>8.9547519973103284</v>
      </c>
      <c r="K15" s="23"/>
      <c r="L15" s="39"/>
      <c r="M15" s="37"/>
      <c r="N15" s="37"/>
      <c r="O15" s="45"/>
    </row>
    <row r="16" spans="1:16" ht="15.5" x14ac:dyDescent="0.35">
      <c r="A16" s="26" t="s">
        <v>23</v>
      </c>
      <c r="B16" s="26">
        <f>B14*B15</f>
        <v>15</v>
      </c>
      <c r="C16" s="42">
        <f>C17-C15</f>
        <v>909.5</v>
      </c>
      <c r="D16" s="27">
        <f>C16/B16</f>
        <v>60.633333333333333</v>
      </c>
      <c r="E16" s="9"/>
      <c r="F16" s="9"/>
      <c r="G16" s="28"/>
      <c r="H16" s="28"/>
      <c r="I16" s="24" t="s">
        <v>24</v>
      </c>
      <c r="J16" s="25">
        <v>4.5999999999999996</v>
      </c>
      <c r="K16" s="23"/>
      <c r="L16" s="39"/>
      <c r="M16" s="37"/>
      <c r="N16" s="37"/>
      <c r="O16" s="37"/>
    </row>
    <row r="17" spans="1:15" ht="15.5" x14ac:dyDescent="0.35">
      <c r="A17" s="26" t="s">
        <v>2</v>
      </c>
      <c r="B17" s="26">
        <f>SUM(B14:B16)</f>
        <v>23</v>
      </c>
      <c r="C17" s="42">
        <f>+K5</f>
        <v>999.83333333333576</v>
      </c>
      <c r="D17" s="27"/>
      <c r="E17" s="35"/>
      <c r="F17" s="32"/>
      <c r="G17" s="36"/>
      <c r="I17" s="24" t="s">
        <v>25</v>
      </c>
      <c r="J17" s="25">
        <f>SQRT(D16)/4</f>
        <v>1.9466852168065933</v>
      </c>
      <c r="L17" s="39"/>
      <c r="M17" s="37"/>
      <c r="N17" s="37"/>
      <c r="O17" s="37"/>
    </row>
  </sheetData>
  <mergeCells count="10">
    <mergeCell ref="F12:G12"/>
    <mergeCell ref="A1:A2"/>
    <mergeCell ref="B1:E1"/>
    <mergeCell ref="A12:A13"/>
    <mergeCell ref="B12:B13"/>
    <mergeCell ref="C12:C13"/>
    <mergeCell ref="D12:D13"/>
    <mergeCell ref="E12:E13"/>
    <mergeCell ref="F1:F2"/>
    <mergeCell ref="G1:G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"/>
  <sheetViews>
    <sheetView workbookViewId="0">
      <selection activeCell="L16" sqref="L16"/>
    </sheetView>
  </sheetViews>
  <sheetFormatPr defaultRowHeight="14.5" x14ac:dyDescent="0.35"/>
  <cols>
    <col min="1" max="1" width="11.26953125" customWidth="1"/>
  </cols>
  <sheetData>
    <row r="1" spans="1:16" ht="15.5" x14ac:dyDescent="0.35">
      <c r="A1" s="68" t="s">
        <v>0</v>
      </c>
      <c r="B1" s="70" t="s">
        <v>1</v>
      </c>
      <c r="C1" s="70"/>
      <c r="D1" s="70"/>
      <c r="E1" s="70"/>
      <c r="F1" s="1"/>
      <c r="G1" s="1"/>
      <c r="H1" s="17"/>
      <c r="I1" s="2"/>
      <c r="J1" s="3"/>
      <c r="K1" s="4"/>
    </row>
    <row r="2" spans="1:16" ht="15.5" x14ac:dyDescent="0.35">
      <c r="A2" s="69"/>
      <c r="B2" s="44">
        <v>1</v>
      </c>
      <c r="C2" s="44">
        <v>2</v>
      </c>
      <c r="D2" s="44">
        <v>3</v>
      </c>
      <c r="E2" s="17">
        <v>4</v>
      </c>
      <c r="F2" s="1" t="s">
        <v>2</v>
      </c>
      <c r="G2" s="1" t="s">
        <v>3</v>
      </c>
      <c r="H2" s="17"/>
      <c r="I2" s="7"/>
      <c r="J2" s="3"/>
      <c r="K2" s="4"/>
    </row>
    <row r="3" spans="1:16" ht="15.5" x14ac:dyDescent="0.35">
      <c r="A3" s="8" t="s">
        <v>4</v>
      </c>
      <c r="B3" s="39">
        <v>87</v>
      </c>
      <c r="C3" s="37">
        <v>88.5</v>
      </c>
      <c r="D3" s="37">
        <v>76</v>
      </c>
      <c r="E3" s="37">
        <v>91.5</v>
      </c>
      <c r="F3" s="9">
        <f t="shared" ref="F3:F8" si="0">SUM(B3:E3)</f>
        <v>343</v>
      </c>
      <c r="G3" s="9">
        <f t="shared" ref="G3:G8" si="1">AVERAGE(B3:E3)</f>
        <v>85.75</v>
      </c>
      <c r="H3" s="9"/>
      <c r="I3" s="7"/>
      <c r="J3" s="3" t="s">
        <v>5</v>
      </c>
      <c r="K3" s="4">
        <f>F9^2/J13</f>
        <v>227214.96000000005</v>
      </c>
    </row>
    <row r="4" spans="1:16" ht="15.5" x14ac:dyDescent="0.35">
      <c r="A4" s="8" t="s">
        <v>6</v>
      </c>
      <c r="B4" s="39">
        <v>91.8</v>
      </c>
      <c r="C4" s="37">
        <v>90.5</v>
      </c>
      <c r="D4" s="37">
        <v>89.73</v>
      </c>
      <c r="E4" s="37">
        <v>95</v>
      </c>
      <c r="F4" s="9">
        <f t="shared" si="0"/>
        <v>367.03000000000003</v>
      </c>
      <c r="G4" s="9">
        <f t="shared" si="1"/>
        <v>91.757500000000007</v>
      </c>
      <c r="H4" s="9"/>
      <c r="I4" s="7"/>
      <c r="J4" s="10" t="s">
        <v>7</v>
      </c>
      <c r="K4" s="9">
        <f>SUMSQ(F3:F8)/J12-K3</f>
        <v>1063.7852499999281</v>
      </c>
      <c r="N4" s="8" t="s">
        <v>4</v>
      </c>
      <c r="O4" s="11">
        <f>G3</f>
        <v>85.75</v>
      </c>
      <c r="P4" s="47" t="s">
        <v>29</v>
      </c>
    </row>
    <row r="5" spans="1:16" ht="15.5" x14ac:dyDescent="0.35">
      <c r="A5" s="8" t="s">
        <v>8</v>
      </c>
      <c r="B5" s="39">
        <v>98.5</v>
      </c>
      <c r="C5" s="37">
        <v>94.89</v>
      </c>
      <c r="D5" s="37">
        <v>98</v>
      </c>
      <c r="E5" s="37">
        <v>97.5</v>
      </c>
      <c r="F5" s="9">
        <f t="shared" si="0"/>
        <v>388.89</v>
      </c>
      <c r="G5" s="9">
        <f t="shared" si="1"/>
        <v>97.222499999999997</v>
      </c>
      <c r="H5" s="9"/>
      <c r="I5" s="7"/>
      <c r="J5" s="3" t="s">
        <v>9</v>
      </c>
      <c r="K5" s="43">
        <f>SUMSQ(B3:E8)-K3</f>
        <v>1567.5333999999566</v>
      </c>
      <c r="N5" s="8" t="s">
        <v>6</v>
      </c>
      <c r="O5" s="11">
        <f t="shared" ref="O5:O9" si="2">G4</f>
        <v>91.757500000000007</v>
      </c>
      <c r="P5" s="48" t="s">
        <v>29</v>
      </c>
    </row>
    <row r="6" spans="1:16" ht="15.5" x14ac:dyDescent="0.35">
      <c r="A6" s="8" t="s">
        <v>10</v>
      </c>
      <c r="B6" s="39">
        <v>103.4</v>
      </c>
      <c r="C6" s="37">
        <v>107.5</v>
      </c>
      <c r="D6" s="37">
        <v>97.5</v>
      </c>
      <c r="E6" s="37">
        <v>98</v>
      </c>
      <c r="F6" s="9">
        <f t="shared" si="0"/>
        <v>406.4</v>
      </c>
      <c r="G6" s="9">
        <f t="shared" si="1"/>
        <v>101.6</v>
      </c>
      <c r="H6" s="9"/>
      <c r="I6" s="7"/>
      <c r="J6" s="3" t="s">
        <v>11</v>
      </c>
      <c r="K6" s="43">
        <f>SUMSQ(B9:E9)/J11-K3</f>
        <v>146.64869999996154</v>
      </c>
      <c r="N6" s="8" t="s">
        <v>8</v>
      </c>
      <c r="O6" s="11">
        <f t="shared" si="2"/>
        <v>97.222499999999997</v>
      </c>
      <c r="P6" s="48" t="s">
        <v>29</v>
      </c>
    </row>
    <row r="7" spans="1:16" ht="15.5" x14ac:dyDescent="0.35">
      <c r="A7" s="8" t="s">
        <v>12</v>
      </c>
      <c r="B7" s="40">
        <v>101</v>
      </c>
      <c r="C7" s="41">
        <v>107.82</v>
      </c>
      <c r="D7" s="41">
        <v>91.5</v>
      </c>
      <c r="E7" s="41">
        <v>112.6</v>
      </c>
      <c r="F7" s="9">
        <f t="shared" si="0"/>
        <v>412.91999999999996</v>
      </c>
      <c r="G7" s="9">
        <f t="shared" si="1"/>
        <v>103.22999999999999</v>
      </c>
      <c r="H7" s="9"/>
      <c r="I7" s="7"/>
      <c r="J7" s="3" t="s">
        <v>13</v>
      </c>
      <c r="K7" s="12">
        <f>SQRT(D16)/G9*100</f>
        <v>5.9559118627044425</v>
      </c>
      <c r="N7" s="8" t="s">
        <v>10</v>
      </c>
      <c r="O7" s="11">
        <f t="shared" si="2"/>
        <v>101.6</v>
      </c>
      <c r="P7" s="48" t="s">
        <v>29</v>
      </c>
    </row>
    <row r="8" spans="1:16" ht="15.5" x14ac:dyDescent="0.35">
      <c r="A8" s="8" t="s">
        <v>27</v>
      </c>
      <c r="B8" s="39">
        <v>102.5</v>
      </c>
      <c r="C8" s="37">
        <v>106.5</v>
      </c>
      <c r="D8" s="37">
        <v>106.72</v>
      </c>
      <c r="E8" s="37">
        <v>101.24</v>
      </c>
      <c r="F8" s="9">
        <f t="shared" si="0"/>
        <v>416.96000000000004</v>
      </c>
      <c r="G8" s="9">
        <f t="shared" si="1"/>
        <v>104.24000000000001</v>
      </c>
      <c r="H8" s="9"/>
      <c r="I8" s="7"/>
      <c r="J8" s="3"/>
      <c r="K8" s="12"/>
      <c r="N8" s="8" t="s">
        <v>12</v>
      </c>
      <c r="O8" s="11">
        <f t="shared" si="2"/>
        <v>103.22999999999999</v>
      </c>
      <c r="P8" s="48" t="s">
        <v>30</v>
      </c>
    </row>
    <row r="9" spans="1:16" ht="15.5" x14ac:dyDescent="0.35">
      <c r="A9" s="5" t="s">
        <v>2</v>
      </c>
      <c r="B9" s="13">
        <f>SUM(B3:B8)</f>
        <v>584.20000000000005</v>
      </c>
      <c r="C9" s="13">
        <f>SUM(C3:C8)</f>
        <v>595.71</v>
      </c>
      <c r="D9" s="13">
        <f>SUM(D3:D8)</f>
        <v>559.45000000000005</v>
      </c>
      <c r="E9" s="13">
        <f>SUM(E3:E8)</f>
        <v>595.84</v>
      </c>
      <c r="F9" s="13">
        <f>SUM(F3:F8)</f>
        <v>2335.2000000000003</v>
      </c>
      <c r="G9" s="13">
        <f>AVERAGE(G3:G8)</f>
        <v>97.300000000000011</v>
      </c>
      <c r="H9" s="29"/>
      <c r="J9" s="3"/>
      <c r="K9" s="14"/>
      <c r="N9" s="8" t="s">
        <v>27</v>
      </c>
      <c r="O9" s="11">
        <f t="shared" si="2"/>
        <v>104.24000000000001</v>
      </c>
      <c r="P9" s="48" t="s">
        <v>30</v>
      </c>
    </row>
    <row r="10" spans="1:16" ht="15.5" x14ac:dyDescent="0.35">
      <c r="A10" s="2"/>
      <c r="B10" s="2"/>
      <c r="C10" s="2"/>
      <c r="D10" s="2"/>
      <c r="E10" s="15"/>
      <c r="F10" s="15"/>
      <c r="G10" s="15"/>
      <c r="H10" s="15"/>
      <c r="I10" s="16"/>
      <c r="J10" s="16"/>
      <c r="K10" s="3"/>
    </row>
    <row r="11" spans="1:16" ht="15.5" x14ac:dyDescent="0.35">
      <c r="A11" s="2"/>
      <c r="B11" s="2"/>
      <c r="C11" s="2"/>
      <c r="D11" s="2"/>
      <c r="E11" s="15"/>
      <c r="F11" s="16"/>
      <c r="G11" s="16"/>
      <c r="H11" s="16"/>
      <c r="I11" s="3" t="s">
        <v>0</v>
      </c>
      <c r="J11" s="17">
        <v>6</v>
      </c>
      <c r="K11" s="3"/>
      <c r="L11" s="39"/>
      <c r="M11" s="39"/>
      <c r="N11" s="37"/>
      <c r="O11" s="37"/>
      <c r="P11" s="37"/>
    </row>
    <row r="12" spans="1:16" ht="15.5" x14ac:dyDescent="0.35">
      <c r="A12" s="68" t="s">
        <v>14</v>
      </c>
      <c r="B12" s="68" t="s">
        <v>15</v>
      </c>
      <c r="C12" s="68" t="s">
        <v>16</v>
      </c>
      <c r="D12" s="68" t="s">
        <v>17</v>
      </c>
      <c r="E12" s="72" t="s">
        <v>18</v>
      </c>
      <c r="F12" s="66" t="s">
        <v>26</v>
      </c>
      <c r="G12" s="67"/>
      <c r="H12" s="19"/>
      <c r="I12" s="3" t="s">
        <v>19</v>
      </c>
      <c r="J12" s="17">
        <v>4</v>
      </c>
      <c r="K12" s="3"/>
      <c r="L12" s="39"/>
      <c r="M12" s="40"/>
      <c r="N12" s="41"/>
      <c r="O12" s="41"/>
      <c r="P12" s="41"/>
    </row>
    <row r="13" spans="1:16" ht="15.5" x14ac:dyDescent="0.35">
      <c r="A13" s="69"/>
      <c r="B13" s="69"/>
      <c r="C13" s="69"/>
      <c r="D13" s="69"/>
      <c r="E13" s="73"/>
      <c r="F13" s="33">
        <v>0.01</v>
      </c>
      <c r="G13" s="34">
        <v>0.05</v>
      </c>
      <c r="H13" s="20"/>
      <c r="I13" s="3" t="s">
        <v>2</v>
      </c>
      <c r="J13" s="17">
        <f>J11*J12</f>
        <v>24</v>
      </c>
      <c r="L13" s="39"/>
      <c r="M13" s="39"/>
      <c r="N13" s="37"/>
      <c r="O13" s="37"/>
      <c r="P13" s="37"/>
    </row>
    <row r="14" spans="1:16" ht="15.5" x14ac:dyDescent="0.35">
      <c r="A14" s="21" t="s">
        <v>19</v>
      </c>
      <c r="B14" s="21">
        <v>3</v>
      </c>
      <c r="C14" s="31">
        <f>+K6</f>
        <v>146.64869999996154</v>
      </c>
      <c r="D14" s="9">
        <f>C14/B14</f>
        <v>48.882899999987181</v>
      </c>
      <c r="E14" s="9">
        <f>D14/D16</f>
        <v>1.455575568862667</v>
      </c>
      <c r="F14" s="9">
        <v>3.29</v>
      </c>
      <c r="G14" s="9">
        <v>5.42</v>
      </c>
      <c r="H14" s="22" t="s">
        <v>20</v>
      </c>
      <c r="K14" s="23"/>
      <c r="L14" s="39"/>
      <c r="M14" s="37"/>
      <c r="N14" s="37"/>
      <c r="O14" s="37"/>
    </row>
    <row r="15" spans="1:16" ht="15.5" x14ac:dyDescent="0.35">
      <c r="A15" s="21" t="s">
        <v>0</v>
      </c>
      <c r="B15" s="21">
        <v>5</v>
      </c>
      <c r="C15" s="31">
        <f>+K4</f>
        <v>1063.7852499999281</v>
      </c>
      <c r="D15" s="9">
        <f>C15/B15</f>
        <v>212.75704999998561</v>
      </c>
      <c r="E15" s="9">
        <f>D15/D16</f>
        <v>6.3352207844328623</v>
      </c>
      <c r="F15" s="9">
        <v>2.9</v>
      </c>
      <c r="G15" s="9">
        <v>4.5599999999999996</v>
      </c>
      <c r="H15" s="22" t="s">
        <v>21</v>
      </c>
      <c r="I15" s="24" t="s">
        <v>22</v>
      </c>
      <c r="J15" s="25">
        <f>J16*J17</f>
        <v>6.6643675787731365</v>
      </c>
      <c r="K15" s="23"/>
      <c r="L15" s="39"/>
      <c r="M15" s="37"/>
      <c r="N15" s="37"/>
      <c r="O15" s="37"/>
    </row>
    <row r="16" spans="1:16" ht="15.5" x14ac:dyDescent="0.35">
      <c r="A16" s="26" t="s">
        <v>23</v>
      </c>
      <c r="B16" s="26">
        <f>B14*B15</f>
        <v>15</v>
      </c>
      <c r="C16" s="42">
        <f>C17-C15</f>
        <v>503.74815000002855</v>
      </c>
      <c r="D16" s="27">
        <f>C16/B16</f>
        <v>33.583210000001905</v>
      </c>
      <c r="E16" s="9"/>
      <c r="F16" s="9"/>
      <c r="G16" s="28"/>
      <c r="H16" s="28"/>
      <c r="I16" s="24" t="s">
        <v>24</v>
      </c>
      <c r="J16" s="25">
        <v>4.5999999999999996</v>
      </c>
      <c r="K16" s="23"/>
      <c r="L16" s="39"/>
      <c r="M16" s="37"/>
      <c r="N16" s="37"/>
      <c r="O16" s="37"/>
    </row>
    <row r="17" spans="1:15" ht="15.5" x14ac:dyDescent="0.35">
      <c r="A17" s="26" t="s">
        <v>2</v>
      </c>
      <c r="B17" s="26">
        <f>SUM(B14:B16)</f>
        <v>23</v>
      </c>
      <c r="C17" s="42">
        <f>+K5</f>
        <v>1567.5333999999566</v>
      </c>
      <c r="D17" s="27"/>
      <c r="E17" s="35"/>
      <c r="F17" s="32"/>
      <c r="G17" s="36"/>
      <c r="I17" s="24" t="s">
        <v>25</v>
      </c>
      <c r="J17" s="25">
        <f>SQRT(D16)/4</f>
        <v>1.4487755606028558</v>
      </c>
      <c r="L17" s="39"/>
      <c r="M17" s="37"/>
      <c r="N17" s="37"/>
      <c r="O17" s="37"/>
    </row>
  </sheetData>
  <mergeCells count="8">
    <mergeCell ref="F12:G12"/>
    <mergeCell ref="A1:A2"/>
    <mergeCell ref="B1:E1"/>
    <mergeCell ref="A12:A13"/>
    <mergeCell ref="B12:B13"/>
    <mergeCell ref="C12:C13"/>
    <mergeCell ref="D12:D13"/>
    <mergeCell ref="E12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TT1</vt:lpstr>
      <vt:lpstr>TT2</vt:lpstr>
      <vt:lpstr>TT3</vt:lpstr>
      <vt:lpstr>TT4</vt:lpstr>
      <vt:lpstr>TT5</vt:lpstr>
      <vt:lpstr>JD1</vt:lpstr>
      <vt:lpstr>JD2</vt:lpstr>
      <vt:lpstr>JD3</vt:lpstr>
      <vt:lpstr>JD4</vt:lpstr>
      <vt:lpstr>JD5</vt:lpstr>
      <vt:lpstr>W.M.B </vt:lpstr>
      <vt:lpstr>J.B.P 1</vt:lpstr>
      <vt:lpstr>J.B.P 2</vt:lpstr>
      <vt:lpstr>J.B.P 3</vt:lpstr>
      <vt:lpstr>B.B.P Panen 1</vt:lpstr>
      <vt:lpstr>B.B.P Panen 2</vt:lpstr>
      <vt:lpstr>penen buah ketiga</vt:lpstr>
      <vt:lpstr>salah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Juli Yandi Rahman</cp:lastModifiedBy>
  <dcterms:created xsi:type="dcterms:W3CDTF">2023-06-25T03:25:40Z</dcterms:created>
  <dcterms:modified xsi:type="dcterms:W3CDTF">2023-11-21T07:52:25Z</dcterms:modified>
</cp:coreProperties>
</file>